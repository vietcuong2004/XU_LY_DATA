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WEELY-W39\"/>
    </mc:Choice>
  </mc:AlternateContent>
  <xr:revisionPtr revIDLastSave="0" documentId="13_ncr:1_{967B027C-390A-4F73-8CCB-80D0BFE823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reakdown " sheetId="1" r:id="rId1"/>
    <sheet name="BARBIE 2728" sheetId="2" r:id="rId2"/>
    <sheet name="Release Qty" sheetId="3" r:id="rId3"/>
  </sheets>
  <definedNames>
    <definedName name="_xlnm._FilterDatabase" localSheetId="1" hidden="1">'BARBIE 2728'!$A$20:$F$20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" i="1" l="1"/>
  <c r="C84" i="1"/>
  <c r="C87" i="1" s="1"/>
  <c r="E58" i="2"/>
  <c r="E14" i="2"/>
  <c r="D14" i="2"/>
  <c r="P15" i="1" l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P14" i="1"/>
  <c r="O14" i="1"/>
  <c r="N14" i="1"/>
  <c r="K11" i="1"/>
  <c r="H11" i="1"/>
  <c r="E11" i="1"/>
  <c r="B11" i="1"/>
  <c r="O10" i="1"/>
  <c r="P10" i="1"/>
  <c r="N10" i="1"/>
  <c r="O9" i="1"/>
  <c r="P9" i="1"/>
  <c r="N9" i="1"/>
  <c r="B84" i="1" l="1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M84" i="1"/>
  <c r="L84" i="1"/>
  <c r="K84" i="1"/>
  <c r="J84" i="1"/>
  <c r="I84" i="1"/>
  <c r="H84" i="1"/>
  <c r="G84" i="1"/>
  <c r="F84" i="1"/>
  <c r="E84" i="1"/>
  <c r="E87" i="1" s="1"/>
  <c r="P84" i="1" l="1"/>
  <c r="O84" i="1"/>
  <c r="N84" i="1"/>
  <c r="B87" i="1"/>
  <c r="F88" i="2"/>
  <c r="F87" i="2"/>
  <c r="F86" i="2"/>
  <c r="F85" i="2"/>
  <c r="D84" i="2" l="1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5" i="2"/>
  <c r="D89" i="2" l="1"/>
  <c r="D90" i="2" s="1"/>
  <c r="D16" i="2"/>
  <c r="J11" i="1" l="1"/>
  <c r="I11" i="1"/>
  <c r="E48" i="2"/>
  <c r="E49" i="2"/>
  <c r="E50" i="2"/>
  <c r="E51" i="2"/>
  <c r="E52" i="2"/>
  <c r="E53" i="2"/>
  <c r="E54" i="2"/>
  <c r="E55" i="2"/>
  <c r="E56" i="2"/>
  <c r="E57" i="2"/>
  <c r="E59" i="2"/>
  <c r="E60" i="2"/>
  <c r="E61" i="2"/>
  <c r="E62" i="2"/>
  <c r="E63" i="2"/>
  <c r="E64" i="2"/>
  <c r="E65" i="2"/>
  <c r="E66" i="2"/>
  <c r="E6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56" i="2"/>
  <c r="B57" i="2"/>
  <c r="B58" i="2"/>
  <c r="B59" i="2"/>
  <c r="B60" i="2"/>
  <c r="B61" i="2"/>
  <c r="B55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19" i="2"/>
  <c r="F55" i="2" l="1"/>
  <c r="F54" i="2"/>
  <c r="F50" i="2"/>
  <c r="F49" i="2"/>
  <c r="F51" i="2"/>
  <c r="F48" i="2"/>
  <c r="F62" i="2"/>
  <c r="F52" i="2"/>
  <c r="F61" i="2"/>
  <c r="F60" i="2"/>
  <c r="F58" i="2"/>
  <c r="F57" i="2"/>
  <c r="F59" i="2"/>
  <c r="F53" i="2"/>
  <c r="F56" i="2"/>
  <c r="B89" i="2"/>
  <c r="H87" i="1"/>
  <c r="H89" i="1" s="1"/>
  <c r="I87" i="1"/>
  <c r="I89" i="1" s="1"/>
  <c r="J87" i="1"/>
  <c r="J89" i="1" s="1"/>
  <c r="B90" i="2" l="1"/>
  <c r="H20" i="2"/>
  <c r="I20" i="2" s="1"/>
  <c r="I19" i="2"/>
  <c r="H21" i="2" l="1"/>
  <c r="H22" i="2" s="1"/>
  <c r="H23" i="2" s="1"/>
  <c r="I21" i="2" l="1"/>
  <c r="I22" i="2"/>
  <c r="I23" i="2"/>
  <c r="H24" i="2"/>
  <c r="I24" i="2" l="1"/>
  <c r="H25" i="2"/>
  <c r="E27" i="2"/>
  <c r="H26" i="2" l="1"/>
  <c r="I25" i="2"/>
  <c r="H27" i="2" l="1"/>
  <c r="I26" i="2"/>
  <c r="H28" i="2" l="1"/>
  <c r="I27" i="2"/>
  <c r="I28" i="2" l="1"/>
  <c r="H29" i="2"/>
  <c r="H30" i="2" l="1"/>
  <c r="I29" i="2"/>
  <c r="C15" i="2"/>
  <c r="C14" i="2"/>
  <c r="E19" i="2"/>
  <c r="E1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6" i="2"/>
  <c r="E25" i="2"/>
  <c r="E24" i="2"/>
  <c r="E23" i="2"/>
  <c r="E22" i="2"/>
  <c r="E21" i="2"/>
  <c r="E20" i="2"/>
  <c r="C42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F65" i="2" s="1"/>
  <c r="C64" i="2"/>
  <c r="F64" i="2" s="1"/>
  <c r="C63" i="2"/>
  <c r="F63" i="2" s="1"/>
  <c r="C47" i="2"/>
  <c r="C46" i="2"/>
  <c r="C45" i="2"/>
  <c r="C44" i="2"/>
  <c r="C43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B15" i="2"/>
  <c r="B14" i="2"/>
  <c r="F68" i="2" l="1"/>
  <c r="F47" i="2"/>
  <c r="F82" i="2"/>
  <c r="F34" i="2"/>
  <c r="F84" i="2"/>
  <c r="F76" i="2"/>
  <c r="F75" i="2"/>
  <c r="F67" i="2"/>
  <c r="F27" i="2"/>
  <c r="F83" i="2"/>
  <c r="F35" i="2"/>
  <c r="F74" i="2"/>
  <c r="F66" i="2"/>
  <c r="F21" i="2"/>
  <c r="F44" i="2"/>
  <c r="F23" i="2"/>
  <c r="F20" i="2"/>
  <c r="F22" i="2"/>
  <c r="F30" i="2"/>
  <c r="F40" i="2"/>
  <c r="F36" i="2"/>
  <c r="F46" i="2"/>
  <c r="F38" i="2"/>
  <c r="F39" i="2"/>
  <c r="F37" i="2"/>
  <c r="F32" i="2"/>
  <c r="F31" i="2"/>
  <c r="F45" i="2"/>
  <c r="F43" i="2"/>
  <c r="F29" i="2"/>
  <c r="F42" i="2"/>
  <c r="F28" i="2"/>
  <c r="F26" i="2"/>
  <c r="F19" i="2"/>
  <c r="F69" i="2"/>
  <c r="F70" i="2"/>
  <c r="F78" i="2"/>
  <c r="F71" i="2"/>
  <c r="F79" i="2"/>
  <c r="F77" i="2"/>
  <c r="F24" i="2"/>
  <c r="F72" i="2"/>
  <c r="F80" i="2"/>
  <c r="F25" i="2"/>
  <c r="F33" i="2"/>
  <c r="F41" i="2"/>
  <c r="F73" i="2"/>
  <c r="F81" i="2"/>
  <c r="E89" i="2"/>
  <c r="C89" i="2"/>
  <c r="E16" i="2"/>
  <c r="H31" i="2"/>
  <c r="I30" i="2"/>
  <c r="B16" i="2"/>
  <c r="F89" i="2" l="1"/>
  <c r="F91" i="2"/>
  <c r="I31" i="2"/>
  <c r="H32" i="2"/>
  <c r="C16" i="2"/>
  <c r="G20" i="2"/>
  <c r="E90" i="2"/>
  <c r="C90" i="2" l="1"/>
  <c r="F90" i="2" s="1"/>
  <c r="I32" i="2"/>
  <c r="H33" i="2"/>
  <c r="G21" i="2"/>
  <c r="G22" i="2" l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H34" i="2"/>
  <c r="I33" i="2"/>
  <c r="M11" i="1"/>
  <c r="L11" i="1"/>
  <c r="K87" i="1"/>
  <c r="K89" i="1" s="1"/>
  <c r="G11" i="1"/>
  <c r="F11" i="1"/>
  <c r="F87" i="1" s="1"/>
  <c r="F89" i="1" s="1"/>
  <c r="D11" i="1"/>
  <c r="C11" i="1"/>
  <c r="G85" i="2" l="1"/>
  <c r="G86" i="2" s="1"/>
  <c r="G87" i="2" s="1"/>
  <c r="G88" i="2" s="1"/>
  <c r="G87" i="1"/>
  <c r="G89" i="1" s="1"/>
  <c r="E89" i="1"/>
  <c r="B89" i="1"/>
  <c r="C89" i="1"/>
  <c r="D87" i="1"/>
  <c r="D89" i="1" s="1"/>
  <c r="M87" i="1"/>
  <c r="M89" i="1" s="1"/>
  <c r="L87" i="1"/>
  <c r="L89" i="1" s="1"/>
  <c r="H35" i="2"/>
  <c r="I34" i="2"/>
  <c r="P11" i="1"/>
  <c r="O11" i="1"/>
  <c r="N11" i="1"/>
  <c r="G89" i="2" l="1"/>
  <c r="G90" i="2" s="1"/>
  <c r="G91" i="2" s="1"/>
  <c r="I35" i="2"/>
  <c r="H36" i="2"/>
  <c r="I36" i="2" l="1"/>
  <c r="H37" i="2"/>
  <c r="H38" i="2" l="1"/>
  <c r="I37" i="2"/>
  <c r="H39" i="2" l="1"/>
  <c r="I38" i="2"/>
  <c r="I39" i="2" l="1"/>
  <c r="H40" i="2"/>
  <c r="I40" i="2" l="1"/>
  <c r="H41" i="2"/>
  <c r="H42" i="2" l="1"/>
  <c r="I41" i="2"/>
  <c r="H43" i="2" l="1"/>
  <c r="I42" i="2"/>
  <c r="I43" i="2" l="1"/>
  <c r="H44" i="2"/>
  <c r="I44" i="2" l="1"/>
  <c r="H45" i="2"/>
  <c r="H46" i="2" l="1"/>
  <c r="I45" i="2"/>
  <c r="H47" i="2" l="1"/>
  <c r="I46" i="2"/>
  <c r="I47" i="2" l="1"/>
  <c r="H48" i="2"/>
  <c r="I48" i="2" l="1"/>
  <c r="H49" i="2"/>
  <c r="H50" i="2" l="1"/>
  <c r="I49" i="2"/>
  <c r="I52" i="2" l="1"/>
  <c r="H51" i="2"/>
  <c r="I50" i="2"/>
  <c r="H53" i="2" l="1"/>
  <c r="I51" i="2"/>
  <c r="I53" i="2" l="1"/>
  <c r="H54" i="2"/>
  <c r="H55" i="2" l="1"/>
  <c r="I54" i="2"/>
  <c r="H56" i="2" l="1"/>
  <c r="I55" i="2"/>
  <c r="I56" i="2" l="1"/>
  <c r="H57" i="2"/>
  <c r="I57" i="2" l="1"/>
  <c r="H58" i="2"/>
  <c r="H59" i="2" l="1"/>
  <c r="I58" i="2"/>
  <c r="H60" i="2" l="1"/>
  <c r="I59" i="2"/>
  <c r="H61" i="2" l="1"/>
  <c r="I60" i="2"/>
  <c r="I61" i="2" l="1"/>
  <c r="H62" i="2"/>
  <c r="H63" i="2" l="1"/>
  <c r="I62" i="2"/>
  <c r="H64" i="2" l="1"/>
  <c r="I63" i="2"/>
  <c r="I64" i="2" l="1"/>
  <c r="H65" i="2"/>
  <c r="I65" i="2" l="1"/>
  <c r="H66" i="2"/>
  <c r="H67" i="2" l="1"/>
  <c r="I66" i="2"/>
  <c r="H68" i="2" l="1"/>
  <c r="I67" i="2"/>
  <c r="I68" i="2" l="1"/>
  <c r="H69" i="2"/>
  <c r="I69" i="2" l="1"/>
  <c r="H70" i="2"/>
  <c r="H71" i="2" l="1"/>
  <c r="I70" i="2"/>
  <c r="H72" i="2" l="1"/>
  <c r="I71" i="2"/>
  <c r="I72" i="2" l="1"/>
  <c r="H73" i="2"/>
  <c r="I73" i="2" l="1"/>
  <c r="H74" i="2"/>
  <c r="H75" i="2" l="1"/>
  <c r="I74" i="2"/>
  <c r="H76" i="2" l="1"/>
  <c r="I75" i="2"/>
  <c r="H77" i="2" l="1"/>
  <c r="I76" i="2"/>
  <c r="I77" i="2" l="1"/>
  <c r="H78" i="2"/>
  <c r="H79" i="2" l="1"/>
  <c r="I78" i="2"/>
  <c r="H80" i="2" l="1"/>
  <c r="I79" i="2"/>
  <c r="I80" i="2" l="1"/>
  <c r="H81" i="2"/>
  <c r="I81" i="2" l="1"/>
  <c r="H82" i="2"/>
  <c r="H83" i="2" l="1"/>
  <c r="I82" i="2"/>
  <c r="H84" i="2" l="1"/>
  <c r="H85" i="2" s="1"/>
  <c r="I83" i="2"/>
  <c r="H86" i="2" l="1"/>
  <c r="I85" i="2"/>
  <c r="H89" i="2"/>
  <c r="H90" i="2" s="1"/>
  <c r="I84" i="2"/>
  <c r="I86" i="2" l="1"/>
  <c r="H87" i="2"/>
  <c r="I89" i="2"/>
  <c r="I87" i="2" l="1"/>
  <c r="H88" i="2"/>
  <c r="I88" i="2" s="1"/>
  <c r="I90" i="2"/>
  <c r="H91" i="2"/>
  <c r="I91" i="2" l="1"/>
</calcChain>
</file>

<file path=xl/sharedStrings.xml><?xml version="1.0" encoding="utf-8"?>
<sst xmlns="http://schemas.openxmlformats.org/spreadsheetml/2006/main" count="264" uniqueCount="136">
  <si>
    <t>Senft</t>
  </si>
  <si>
    <t>Mexico</t>
  </si>
  <si>
    <t>Item</t>
  </si>
  <si>
    <t>MPG</t>
  </si>
  <si>
    <t>KS</t>
  </si>
  <si>
    <t>capsule color</t>
  </si>
  <si>
    <t xml:space="preserve">Industrial Code: </t>
  </si>
  <si>
    <t>PCS/carton</t>
  </si>
  <si>
    <t xml:space="preserve">Version: </t>
  </si>
  <si>
    <t>Dest. Code</t>
  </si>
  <si>
    <t>LPIA</t>
  </si>
  <si>
    <t>MXPA</t>
  </si>
  <si>
    <t xml:space="preserve">EACH: </t>
  </si>
  <si>
    <t xml:space="preserve">TOTAL QTY: </t>
  </si>
  <si>
    <t>T00</t>
    <phoneticPr fontId="2" type="noConversion"/>
  </si>
  <si>
    <t>Format</t>
  </si>
  <si>
    <t>PO No.</t>
    <phoneticPr fontId="2" type="noConversion"/>
  </si>
  <si>
    <t xml:space="preserve">Option Qty: </t>
  </si>
  <si>
    <t xml:space="preserve">Released Qty: </t>
  </si>
  <si>
    <t>No. of items</t>
  </si>
  <si>
    <t xml:space="preserve">Capsule: </t>
  </si>
  <si>
    <t>Total            (weekly)</t>
  </si>
  <si>
    <t>Date:</t>
  </si>
  <si>
    <t>Air</t>
  </si>
  <si>
    <t>Requested Weekly Output :</t>
  </si>
  <si>
    <t>Train</t>
  </si>
  <si>
    <t>Name of Family :</t>
  </si>
  <si>
    <t>RED</t>
  </si>
  <si>
    <t>Changes</t>
  </si>
  <si>
    <t>NIIGATA</t>
  </si>
  <si>
    <t>Supplier :</t>
  </si>
  <si>
    <t>BOLD</t>
  </si>
  <si>
    <t>Past Shipments</t>
  </si>
  <si>
    <t>INTERNATIONAL</t>
  </si>
  <si>
    <t>EC-Inte</t>
  </si>
  <si>
    <t>Option</t>
  </si>
  <si>
    <t>Total</t>
  </si>
  <si>
    <t>confirm</t>
  </si>
  <si>
    <t>TOTAL KS</t>
  </si>
  <si>
    <t>Italy</t>
  </si>
  <si>
    <t>CUM (Total)</t>
  </si>
  <si>
    <t>Date</t>
  </si>
  <si>
    <t>NR. OF WEEK</t>
  </si>
  <si>
    <t>ASN NO.</t>
  </si>
  <si>
    <t>ETD</t>
  </si>
  <si>
    <t>ETA</t>
  </si>
  <si>
    <t>MEANS OF TRANSPORT</t>
  </si>
  <si>
    <t>SHIPPING LINE</t>
  </si>
  <si>
    <t>VESSEL NAME</t>
  </si>
  <si>
    <t>NOTE</t>
  </si>
  <si>
    <t>CONTAINER NO.</t>
  </si>
  <si>
    <t>SEAL NO.</t>
  </si>
  <si>
    <t>INVOICE NO.</t>
  </si>
  <si>
    <t>2026/42</t>
  </si>
  <si>
    <t>2026/43</t>
  </si>
  <si>
    <t>2026/44</t>
  </si>
  <si>
    <t>2026/45</t>
  </si>
  <si>
    <t>2026/46</t>
  </si>
  <si>
    <t>2026/47</t>
  </si>
  <si>
    <t>2026/48</t>
  </si>
  <si>
    <t>2026/49</t>
  </si>
  <si>
    <t>2026/50</t>
  </si>
  <si>
    <t>2026/51</t>
  </si>
  <si>
    <t>2026/52</t>
  </si>
  <si>
    <t>2027/01</t>
  </si>
  <si>
    <t>2027/02</t>
  </si>
  <si>
    <t>2027/03</t>
  </si>
  <si>
    <t>2027/04</t>
  </si>
  <si>
    <t>2027/05</t>
  </si>
  <si>
    <t>2027/06</t>
  </si>
  <si>
    <t>2026/53</t>
  </si>
  <si>
    <t>2027/07</t>
  </si>
  <si>
    <t>2027/08</t>
  </si>
  <si>
    <t>2027/09</t>
  </si>
  <si>
    <t>2027/10</t>
  </si>
  <si>
    <t>2027/11</t>
  </si>
  <si>
    <t>2027/12</t>
  </si>
  <si>
    <t>2027/13</t>
  </si>
  <si>
    <t>2027/14</t>
  </si>
  <si>
    <t>2027/15</t>
  </si>
  <si>
    <t>2027/16</t>
  </si>
  <si>
    <t>2027/17</t>
  </si>
  <si>
    <t>2027/18</t>
  </si>
  <si>
    <t>2027/19</t>
  </si>
  <si>
    <t>2027/20</t>
  </si>
  <si>
    <t>2027/21</t>
  </si>
  <si>
    <t>2027/22</t>
  </si>
  <si>
    <t>2027/23</t>
  </si>
  <si>
    <t>2027/24</t>
  </si>
  <si>
    <t>2027/25</t>
  </si>
  <si>
    <t>2027/26</t>
  </si>
  <si>
    <t>2027/27</t>
  </si>
  <si>
    <t>2027/28</t>
  </si>
  <si>
    <t>2027/29</t>
  </si>
  <si>
    <t>2027/30</t>
  </si>
  <si>
    <t>2027/31</t>
  </si>
  <si>
    <t>2027/32</t>
  </si>
  <si>
    <t>2027/33</t>
  </si>
  <si>
    <t>2027/34</t>
  </si>
  <si>
    <t>2027/35</t>
  </si>
  <si>
    <t>2027/36</t>
  </si>
  <si>
    <t>2027/37</t>
  </si>
  <si>
    <t>2027/38</t>
  </si>
  <si>
    <t>2027/39</t>
  </si>
  <si>
    <t>2027/40</t>
  </si>
  <si>
    <t>2027/41</t>
  </si>
  <si>
    <t>2027/42</t>
  </si>
  <si>
    <t>2027/43</t>
  </si>
  <si>
    <t>2027/44</t>
  </si>
  <si>
    <t>2027/45</t>
  </si>
  <si>
    <t>2027/46</t>
  </si>
  <si>
    <t>2027/47</t>
  </si>
  <si>
    <t>2027/48</t>
  </si>
  <si>
    <t>2027/49</t>
  </si>
  <si>
    <t>2027/50</t>
  </si>
  <si>
    <t>2027/51</t>
  </si>
  <si>
    <t>2027/52</t>
  </si>
  <si>
    <t>2028/01</t>
  </si>
  <si>
    <t>2028/02</t>
  </si>
  <si>
    <t>2028/03</t>
  </si>
  <si>
    <t>2028/04</t>
  </si>
  <si>
    <t>2028/05</t>
  </si>
  <si>
    <t>2028/06</t>
  </si>
  <si>
    <t>VZ275</t>
  </si>
  <si>
    <t>VZ276</t>
  </si>
  <si>
    <t>VZ280</t>
  </si>
  <si>
    <t xml:space="preserve"> BARBIE FOOTBALL</t>
  </si>
  <si>
    <t>BARBIE BASKETBALL</t>
  </si>
  <si>
    <t xml:space="preserve"> BARBIE CRICKET</t>
  </si>
  <si>
    <t>Argentina</t>
  </si>
  <si>
    <t>Brazil</t>
  </si>
  <si>
    <t>ARPA</t>
  </si>
  <si>
    <t>Transparent</t>
  </si>
  <si>
    <t>EC-BRA</t>
  </si>
  <si>
    <t>2027/53</t>
  </si>
  <si>
    <t>BARBIE 2728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</si>
</sst>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#,##0.0_);[Red]\(#,##0.0\)"/>
    <numFmt numFmtId="165" formatCode="0.0000"/>
    <numFmt numFmtId="166" formatCode="0_ "/>
    <numFmt numFmtId="167" formatCode="#,##0.0"/>
    <numFmt numFmtId="168" formatCode="0.00_);[Red]\(0.00\)"/>
    <numFmt numFmtId="169" formatCode="0.0;\-0.0;;@"/>
    <numFmt numFmtId="170" formatCode="0.000_);[Red]\(0.000\)"/>
    <numFmt numFmtId="171" formatCode="[$-F400]h:mm:ss\ AM/PM"/>
    <numFmt numFmtId="172" formatCode="0_);[Red]\(0\)"/>
    <numFmt numFmtId="173" formatCode="_(&quot;HK$&quot;* #,##0.00_);_(&quot;HK$&quot;* \(#,##0.00\);_(&quot;HK$&quot;* &quot;-&quot;??_);_(@_)"/>
    <numFmt numFmtId="174" formatCode="#,###.0;\-#,###.0;;@"/>
    <numFmt numFmtId="175" formatCode="dd/mm/yy;@"/>
    <numFmt numFmtId="176" formatCode="[$-809]d\ mmmm\ yyyy;@"/>
    <numFmt numFmtId="177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rgb="FF0000FF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2"/>
      <name val="新細明體"/>
      <family val="1"/>
      <charset val="136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sz val="14"/>
      <color rgb="FF00B050"/>
      <name val="Arial"/>
      <family val="2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4"/>
      <color indexed="18"/>
      <name val="Arial"/>
      <family val="2"/>
    </font>
    <font>
      <sz val="14"/>
      <color rgb="FF3F00F0"/>
      <name val="Arial"/>
      <family val="2"/>
    </font>
    <font>
      <sz val="14"/>
      <color rgb="FF00B0F0"/>
      <name val="Arial"/>
      <family val="2"/>
    </font>
    <font>
      <b/>
      <sz val="14"/>
      <color rgb="FFFF0000"/>
      <name val="Arial"/>
      <family val="2"/>
    </font>
    <font>
      <b/>
      <sz val="14"/>
      <color rgb="FF0000FF"/>
      <name val="Arial"/>
      <family val="2"/>
    </font>
    <font>
      <b/>
      <sz val="11"/>
      <color indexed="18"/>
      <name val="Calibri"/>
      <family val="2"/>
    </font>
    <font>
      <sz val="11"/>
      <name val="Calibri"/>
      <family val="2"/>
    </font>
    <font>
      <sz val="11"/>
      <color indexed="18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173" fontId="7" fillId="0" borderId="0" applyFont="0" applyFill="0" applyBorder="0" applyAlignment="0" applyProtection="0">
      <alignment vertical="center"/>
    </xf>
    <xf numFmtId="0" fontId="1" fillId="0" borderId="0"/>
  </cellStyleXfs>
  <cellXfs count="192">
    <xf numFmtId="0" fontId="0" fillId="0" borderId="0" xfId="0"/>
    <xf numFmtId="43" fontId="4" fillId="0" borderId="0" xfId="1" applyFont="1" applyFill="1" applyBorder="1" applyAlignment="1">
      <alignment horizontal="center" vertical="center" shrinkToFit="1"/>
    </xf>
    <xf numFmtId="169" fontId="6" fillId="0" borderId="0" xfId="0" applyNumberFormat="1" applyFont="1" applyAlignment="1">
      <alignment horizontal="center" vertical="center" shrinkToFit="1"/>
    </xf>
    <xf numFmtId="171" fontId="4" fillId="0" borderId="12" xfId="0" applyNumberFormat="1" applyFont="1" applyBorder="1" applyAlignment="1">
      <alignment horizontal="center" vertical="center" shrinkToFit="1"/>
    </xf>
    <xf numFmtId="171" fontId="8" fillId="0" borderId="12" xfId="0" applyNumberFormat="1" applyFont="1" applyBorder="1" applyAlignment="1">
      <alignment horizontal="center" vertical="center" shrinkToFi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3" fontId="4" fillId="0" borderId="0" xfId="1" applyFont="1" applyFill="1" applyAlignment="1">
      <alignment horizontal="center" vertical="center" shrinkToFit="1"/>
    </xf>
    <xf numFmtId="43" fontId="4" fillId="2" borderId="1" xfId="1" applyFont="1" applyFill="1" applyBorder="1" applyAlignment="1">
      <alignment horizontal="center" vertical="center" shrinkToFit="1"/>
    </xf>
    <xf numFmtId="43" fontId="4" fillId="2" borderId="2" xfId="1" applyFont="1" applyFill="1" applyBorder="1" applyAlignment="1">
      <alignment horizontal="center" vertical="center" shrinkToFit="1"/>
    </xf>
    <xf numFmtId="170" fontId="8" fillId="0" borderId="0" xfId="0" applyNumberFormat="1" applyFont="1" applyAlignment="1">
      <alignment horizontal="center" vertical="center" shrinkToFit="1"/>
    </xf>
    <xf numFmtId="167" fontId="8" fillId="2" borderId="1" xfId="0" applyNumberFormat="1" applyFont="1" applyFill="1" applyBorder="1" applyAlignment="1">
      <alignment horizontal="center" vertical="center" shrinkToFit="1"/>
    </xf>
    <xf numFmtId="167" fontId="8" fillId="2" borderId="2" xfId="0" applyNumberFormat="1" applyFont="1" applyFill="1" applyBorder="1" applyAlignment="1">
      <alignment horizontal="center" vertical="center" shrinkToFit="1"/>
    </xf>
    <xf numFmtId="170" fontId="3" fillId="0" borderId="0" xfId="0" applyNumberFormat="1" applyFont="1" applyAlignment="1">
      <alignment horizontal="center" vertical="center" shrinkToFit="1"/>
    </xf>
    <xf numFmtId="167" fontId="3" fillId="2" borderId="1" xfId="0" applyNumberFormat="1" applyFont="1" applyFill="1" applyBorder="1" applyAlignment="1">
      <alignment horizontal="center" vertical="center" shrinkToFit="1"/>
    </xf>
    <xf numFmtId="167" fontId="3" fillId="2" borderId="2" xfId="0" applyNumberFormat="1" applyFont="1" applyFill="1" applyBorder="1" applyAlignment="1">
      <alignment horizontal="center" vertical="center" shrinkToFit="1"/>
    </xf>
    <xf numFmtId="170" fontId="4" fillId="0" borderId="0" xfId="0" applyNumberFormat="1" applyFont="1" applyAlignment="1">
      <alignment horizontal="center" vertical="center" shrinkToFit="1"/>
    </xf>
    <xf numFmtId="167" fontId="4" fillId="2" borderId="1" xfId="0" applyNumberFormat="1" applyFont="1" applyFill="1" applyBorder="1" applyAlignment="1">
      <alignment horizontal="center" vertical="center" shrinkToFit="1"/>
    </xf>
    <xf numFmtId="167" fontId="4" fillId="2" borderId="2" xfId="0" applyNumberFormat="1" applyFont="1" applyFill="1" applyBorder="1" applyAlignment="1">
      <alignment horizontal="center" vertical="center" shrinkToFit="1"/>
    </xf>
    <xf numFmtId="166" fontId="4" fillId="2" borderId="1" xfId="0" applyNumberFormat="1" applyFont="1" applyFill="1" applyBorder="1" applyAlignment="1">
      <alignment horizontal="center" vertical="center" shrinkToFit="1"/>
    </xf>
    <xf numFmtId="166" fontId="4" fillId="2" borderId="2" xfId="0" applyNumberFormat="1" applyFont="1" applyFill="1" applyBorder="1" applyAlignment="1">
      <alignment horizontal="center" vertical="center" shrinkToFit="1"/>
    </xf>
    <xf numFmtId="174" fontId="5" fillId="6" borderId="6" xfId="0" applyNumberFormat="1" applyFont="1" applyFill="1" applyBorder="1" applyAlignment="1">
      <alignment horizontal="center" vertical="center" shrinkToFit="1"/>
    </xf>
    <xf numFmtId="174" fontId="5" fillId="6" borderId="8" xfId="0" applyNumberFormat="1" applyFont="1" applyFill="1" applyBorder="1" applyAlignment="1">
      <alignment horizontal="center" vertical="center" shrinkToFit="1"/>
    </xf>
    <xf numFmtId="174" fontId="11" fillId="0" borderId="9" xfId="0" applyNumberFormat="1" applyFont="1" applyBorder="1" applyAlignment="1">
      <alignment horizontal="center" vertical="center" shrinkToFit="1"/>
    </xf>
    <xf numFmtId="174" fontId="11" fillId="0" borderId="10" xfId="0" applyNumberFormat="1" applyFont="1" applyBorder="1" applyAlignment="1">
      <alignment horizontal="center" vertical="center" shrinkToFit="1"/>
    </xf>
    <xf numFmtId="165" fontId="4" fillId="2" borderId="1" xfId="0" applyNumberFormat="1" applyFont="1" applyFill="1" applyBorder="1" applyAlignment="1">
      <alignment horizontal="center" vertical="center" shrinkToFit="1"/>
    </xf>
    <xf numFmtId="165" fontId="4" fillId="2" borderId="2" xfId="0" applyNumberFormat="1" applyFont="1" applyFill="1" applyBorder="1" applyAlignment="1">
      <alignment horizontal="center" vertical="center" shrinkToFit="1"/>
    </xf>
    <xf numFmtId="0" fontId="10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10" fillId="0" borderId="0" xfId="3" quotePrefix="1" applyFont="1" applyAlignment="1">
      <alignment horizontal="center" vertical="center"/>
    </xf>
    <xf numFmtId="0" fontId="12" fillId="4" borderId="2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74" fontId="6" fillId="0" borderId="2" xfId="3" applyNumberFormat="1" applyFont="1" applyBorder="1" applyAlignment="1">
      <alignment horizontal="center" vertical="center" wrapText="1"/>
    </xf>
    <xf numFmtId="174" fontId="10" fillId="0" borderId="2" xfId="3" applyNumberFormat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174" fontId="4" fillId="0" borderId="2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174" fontId="8" fillId="0" borderId="2" xfId="3" applyNumberFormat="1" applyFont="1" applyBorder="1" applyAlignment="1">
      <alignment horizontal="center" vertical="center" shrinkToFit="1"/>
    </xf>
    <xf numFmtId="0" fontId="16" fillId="0" borderId="0" xfId="3" applyFont="1" applyAlignment="1">
      <alignment horizontal="center" vertical="center"/>
    </xf>
    <xf numFmtId="174" fontId="16" fillId="5" borderId="2" xfId="3" applyNumberFormat="1" applyFont="1" applyFill="1" applyBorder="1" applyAlignment="1">
      <alignment horizontal="center" vertical="center" shrinkToFit="1"/>
    </xf>
    <xf numFmtId="0" fontId="17" fillId="0" borderId="0" xfId="3" applyFont="1" applyAlignment="1">
      <alignment horizontal="center" vertical="center"/>
    </xf>
    <xf numFmtId="174" fontId="10" fillId="0" borderId="2" xfId="3" applyNumberFormat="1" applyFont="1" applyBorder="1" applyAlignment="1">
      <alignment horizontal="center" vertical="center" shrinkToFit="1"/>
    </xf>
    <xf numFmtId="0" fontId="15" fillId="0" borderId="0" xfId="3" applyFont="1" applyAlignment="1">
      <alignment horizontal="center" vertical="center"/>
    </xf>
    <xf numFmtId="174" fontId="5" fillId="6" borderId="16" xfId="3" applyNumberFormat="1" applyFont="1" applyFill="1" applyBorder="1" applyAlignment="1">
      <alignment horizontal="center" vertical="center"/>
    </xf>
    <xf numFmtId="174" fontId="5" fillId="6" borderId="8" xfId="3" applyNumberFormat="1" applyFont="1" applyFill="1" applyBorder="1" applyAlignment="1">
      <alignment horizontal="center" vertical="center"/>
    </xf>
    <xf numFmtId="174" fontId="3" fillId="6" borderId="8" xfId="3" applyNumberFormat="1" applyFont="1" applyFill="1" applyBorder="1" applyAlignment="1">
      <alignment horizontal="center" vertical="center"/>
    </xf>
    <xf numFmtId="172" fontId="9" fillId="0" borderId="2" xfId="3" applyNumberFormat="1" applyFont="1" applyBorder="1" applyAlignment="1">
      <alignment horizontal="center" vertical="center"/>
    </xf>
    <xf numFmtId="174" fontId="9" fillId="0" borderId="2" xfId="3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174" fontId="6" fillId="0" borderId="2" xfId="3" applyNumberFormat="1" applyFont="1" applyBorder="1" applyAlignment="1">
      <alignment horizontal="center" vertical="center" shrinkToFit="1"/>
    </xf>
    <xf numFmtId="0" fontId="6" fillId="0" borderId="0" xfId="3" applyFont="1" applyAlignment="1">
      <alignment horizontal="center" vertical="center"/>
    </xf>
    <xf numFmtId="0" fontId="6" fillId="0" borderId="0" xfId="4" applyNumberFormat="1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174" fontId="6" fillId="0" borderId="8" xfId="3" applyNumberFormat="1" applyFont="1" applyBorder="1" applyAlignment="1">
      <alignment horizontal="center" vertical="center"/>
    </xf>
    <xf numFmtId="174" fontId="9" fillId="0" borderId="8" xfId="3" applyNumberFormat="1" applyFont="1" applyBorder="1" applyAlignment="1">
      <alignment horizontal="center" vertical="center"/>
    </xf>
    <xf numFmtId="174" fontId="18" fillId="0" borderId="8" xfId="3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 shrinkToFit="1"/>
    </xf>
    <xf numFmtId="165" fontId="9" fillId="2" borderId="2" xfId="0" applyNumberFormat="1" applyFont="1" applyFill="1" applyBorder="1" applyAlignment="1">
      <alignment horizontal="center" vertical="center" shrinkToFit="1"/>
    </xf>
    <xf numFmtId="43" fontId="9" fillId="2" borderId="1" xfId="1" applyFont="1" applyFill="1" applyBorder="1" applyAlignment="1">
      <alignment horizontal="center" vertical="center" shrinkToFit="1"/>
    </xf>
    <xf numFmtId="43" fontId="9" fillId="2" borderId="2" xfId="1" applyFont="1" applyFill="1" applyBorder="1" applyAlignment="1">
      <alignment horizontal="center" vertical="center" shrinkToFit="1"/>
    </xf>
    <xf numFmtId="167" fontId="18" fillId="2" borderId="2" xfId="0" applyNumberFormat="1" applyFont="1" applyFill="1" applyBorder="1" applyAlignment="1">
      <alignment horizontal="center" vertical="center" shrinkToFit="1"/>
    </xf>
    <xf numFmtId="167" fontId="19" fillId="2" borderId="1" xfId="0" applyNumberFormat="1" applyFont="1" applyFill="1" applyBorder="1" applyAlignment="1">
      <alignment horizontal="center" vertical="center" shrinkToFit="1"/>
    </xf>
    <xf numFmtId="167" fontId="19" fillId="2" borderId="2" xfId="0" applyNumberFormat="1" applyFont="1" applyFill="1" applyBorder="1" applyAlignment="1">
      <alignment horizontal="center" vertical="center" shrinkToFit="1"/>
    </xf>
    <xf numFmtId="167" fontId="9" fillId="2" borderId="1" xfId="0" applyNumberFormat="1" applyFont="1" applyFill="1" applyBorder="1" applyAlignment="1">
      <alignment horizontal="center" vertical="center" shrinkToFit="1"/>
    </xf>
    <xf numFmtId="167" fontId="9" fillId="2" borderId="2" xfId="0" applyNumberFormat="1" applyFont="1" applyFill="1" applyBorder="1" applyAlignment="1">
      <alignment horizontal="center" vertical="center" shrinkToFit="1"/>
    </xf>
    <xf numFmtId="166" fontId="9" fillId="2" borderId="1" xfId="0" applyNumberFormat="1" applyFont="1" applyFill="1" applyBorder="1" applyAlignment="1">
      <alignment horizontal="center" vertical="center" shrinkToFit="1"/>
    </xf>
    <xf numFmtId="166" fontId="9" fillId="2" borderId="2" xfId="0" applyNumberFormat="1" applyFont="1" applyFill="1" applyBorder="1" applyAlignment="1">
      <alignment horizontal="center" vertical="center" shrinkToFit="1"/>
    </xf>
    <xf numFmtId="168" fontId="6" fillId="2" borderId="3" xfId="0" applyNumberFormat="1" applyFont="1" applyFill="1" applyBorder="1" applyAlignment="1">
      <alignment horizontal="center" vertical="center" shrinkToFit="1"/>
    </xf>
    <xf numFmtId="168" fontId="6" fillId="2" borderId="4" xfId="0" applyNumberFormat="1" applyFont="1" applyFill="1" applyBorder="1" applyAlignment="1">
      <alignment horizontal="center" vertical="center" shrinkToFit="1"/>
    </xf>
    <xf numFmtId="168" fontId="6" fillId="2" borderId="11" xfId="0" applyNumberFormat="1" applyFont="1" applyFill="1" applyBorder="1" applyAlignment="1">
      <alignment horizontal="center" vertical="center" shrinkToFit="1"/>
    </xf>
    <xf numFmtId="174" fontId="11" fillId="0" borderId="5" xfId="0" applyNumberFormat="1" applyFont="1" applyBorder="1" applyAlignment="1">
      <alignment horizontal="center" vertical="center" shrinkToFit="1"/>
    </xf>
    <xf numFmtId="174" fontId="11" fillId="0" borderId="6" xfId="0" applyNumberFormat="1" applyFont="1" applyBorder="1" applyAlignment="1">
      <alignment horizontal="center" vertical="center" shrinkToFit="1"/>
    </xf>
    <xf numFmtId="174" fontId="11" fillId="0" borderId="7" xfId="0" applyNumberFormat="1" applyFont="1" applyBorder="1" applyAlignment="1">
      <alignment horizontal="center" vertical="center" shrinkToFit="1"/>
    </xf>
    <xf numFmtId="174" fontId="11" fillId="0" borderId="8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43" fontId="9" fillId="0" borderId="0" xfId="1" applyFont="1" applyFill="1" applyBorder="1" applyAlignment="1">
      <alignment horizontal="center" vertical="center" shrinkToFit="1"/>
    </xf>
    <xf numFmtId="170" fontId="9" fillId="0" borderId="0" xfId="0" applyNumberFormat="1" applyFont="1" applyAlignment="1">
      <alignment horizontal="center" vertical="center"/>
    </xf>
    <xf numFmtId="165" fontId="9" fillId="2" borderId="17" xfId="0" applyNumberFormat="1" applyFont="1" applyFill="1" applyBorder="1" applyAlignment="1">
      <alignment horizontal="center" vertical="center" shrinkToFit="1"/>
    </xf>
    <xf numFmtId="43" fontId="9" fillId="2" borderId="17" xfId="1" applyFont="1" applyFill="1" applyBorder="1" applyAlignment="1">
      <alignment horizontal="center" vertical="center" shrinkToFit="1"/>
    </xf>
    <xf numFmtId="167" fontId="18" fillId="2" borderId="17" xfId="0" applyNumberFormat="1" applyFont="1" applyFill="1" applyBorder="1" applyAlignment="1">
      <alignment horizontal="center" vertical="center" shrinkToFit="1"/>
    </xf>
    <xf numFmtId="167" fontId="19" fillId="2" borderId="17" xfId="0" applyNumberFormat="1" applyFont="1" applyFill="1" applyBorder="1" applyAlignment="1">
      <alignment horizontal="center" vertical="center" shrinkToFit="1"/>
    </xf>
    <xf numFmtId="167" fontId="9" fillId="2" borderId="17" xfId="0" applyNumberFormat="1" applyFont="1" applyFill="1" applyBorder="1" applyAlignment="1">
      <alignment horizontal="center" vertical="center" shrinkToFit="1"/>
    </xf>
    <xf numFmtId="166" fontId="9" fillId="2" borderId="17" xfId="0" applyNumberFormat="1" applyFont="1" applyFill="1" applyBorder="1" applyAlignment="1">
      <alignment horizontal="center" vertical="center" shrinkToFit="1"/>
    </xf>
    <xf numFmtId="174" fontId="11" fillId="0" borderId="18" xfId="0" applyNumberFormat="1" applyFont="1" applyBorder="1" applyAlignment="1">
      <alignment horizontal="center" vertical="center" shrinkToFit="1"/>
    </xf>
    <xf numFmtId="174" fontId="11" fillId="0" borderId="19" xfId="0" applyNumberFormat="1" applyFont="1" applyBorder="1" applyAlignment="1">
      <alignment horizontal="center" vertical="center" shrinkToFit="1"/>
    </xf>
    <xf numFmtId="16" fontId="0" fillId="3" borderId="0" xfId="0" applyNumberFormat="1" applyFill="1"/>
    <xf numFmtId="167" fontId="8" fillId="2" borderId="3" xfId="0" applyNumberFormat="1" applyFont="1" applyFill="1" applyBorder="1" applyAlignment="1">
      <alignment horizontal="center" vertical="center" shrinkToFit="1"/>
    </xf>
    <xf numFmtId="167" fontId="3" fillId="2" borderId="3" xfId="0" applyNumberFormat="1" applyFont="1" applyFill="1" applyBorder="1" applyAlignment="1">
      <alignment horizontal="center" vertical="center" shrinkToFit="1"/>
    </xf>
    <xf numFmtId="167" fontId="8" fillId="2" borderId="4" xfId="0" applyNumberFormat="1" applyFont="1" applyFill="1" applyBorder="1" applyAlignment="1">
      <alignment horizontal="center" vertical="center" shrinkToFit="1"/>
    </xf>
    <xf numFmtId="167" fontId="3" fillId="2" borderId="4" xfId="0" applyNumberFormat="1" applyFont="1" applyFill="1" applyBorder="1" applyAlignment="1">
      <alignment horizontal="center" vertical="center" shrinkToFit="1"/>
    </xf>
    <xf numFmtId="172" fontId="23" fillId="0" borderId="2" xfId="0" applyNumberFormat="1" applyFont="1" applyBorder="1" applyAlignment="1">
      <alignment horizontal="center"/>
    </xf>
    <xf numFmtId="14" fontId="21" fillId="0" borderId="30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/>
    </xf>
    <xf numFmtId="1" fontId="21" fillId="0" borderId="30" xfId="0" applyNumberFormat="1" applyFont="1" applyBorder="1" applyAlignment="1">
      <alignment horizontal="center"/>
    </xf>
    <xf numFmtId="175" fontId="21" fillId="0" borderId="30" xfId="0" applyNumberFormat="1" applyFont="1" applyBorder="1" applyAlignment="1">
      <alignment horizontal="center"/>
    </xf>
    <xf numFmtId="0" fontId="21" fillId="0" borderId="30" xfId="0" applyFont="1" applyBorder="1" applyAlignment="1">
      <alignment horizontal="center" shrinkToFit="1"/>
    </xf>
    <xf numFmtId="0" fontId="21" fillId="0" borderId="35" xfId="0" applyFont="1" applyBorder="1" applyAlignment="1">
      <alignment horizontal="center" shrinkToFit="1"/>
    </xf>
    <xf numFmtId="0" fontId="21" fillId="0" borderId="31" xfId="0" applyFont="1" applyBorder="1" applyAlignment="1">
      <alignment horizontal="center" shrinkToFit="1"/>
    </xf>
    <xf numFmtId="0" fontId="21" fillId="0" borderId="2" xfId="0" applyFont="1" applyBorder="1" applyAlignment="1">
      <alignment horizontal="center" shrinkToFit="1"/>
    </xf>
    <xf numFmtId="0" fontId="21" fillId="0" borderId="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quotePrefix="1" applyFont="1" applyAlignment="1">
      <alignment horizontal="left" vertical="center"/>
    </xf>
    <xf numFmtId="176" fontId="21" fillId="0" borderId="0" xfId="4" applyNumberFormat="1" applyFont="1" applyAlignment="1">
      <alignment horizontal="center" vertical="center"/>
    </xf>
    <xf numFmtId="0" fontId="21" fillId="0" borderId="36" xfId="0" applyFont="1" applyBorder="1" applyAlignment="1">
      <alignment horizontal="center"/>
    </xf>
    <xf numFmtId="0" fontId="23" fillId="0" borderId="37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2" fillId="0" borderId="0" xfId="0" applyFont="1" applyAlignment="1">
      <alignment wrapText="1"/>
    </xf>
    <xf numFmtId="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2" fillId="0" borderId="0" xfId="0" applyNumberFormat="1" applyFont="1" applyAlignment="1">
      <alignment horizontal="right"/>
    </xf>
    <xf numFmtId="177" fontId="23" fillId="0" borderId="22" xfId="0" applyNumberFormat="1" applyFont="1" applyBorder="1" applyAlignment="1">
      <alignment horizontal="center"/>
    </xf>
    <xf numFmtId="165" fontId="20" fillId="0" borderId="22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quotePrefix="1" applyFont="1"/>
    <xf numFmtId="172" fontId="23" fillId="0" borderId="30" xfId="0" applyNumberFormat="1" applyFont="1" applyBorder="1" applyAlignment="1">
      <alignment horizontal="center"/>
    </xf>
    <xf numFmtId="0" fontId="10" fillId="0" borderId="21" xfId="3" applyFont="1" applyBorder="1" applyAlignment="1">
      <alignment horizontal="center" vertical="center"/>
    </xf>
    <xf numFmtId="174" fontId="11" fillId="0" borderId="38" xfId="0" applyNumberFormat="1" applyFont="1" applyBorder="1" applyAlignment="1">
      <alignment horizontal="center" vertical="center" shrinkToFit="1"/>
    </xf>
    <xf numFmtId="0" fontId="12" fillId="0" borderId="0" xfId="3" applyFont="1" applyAlignment="1">
      <alignment horizontal="center" vertical="center"/>
    </xf>
    <xf numFmtId="174" fontId="5" fillId="6" borderId="5" xfId="0" applyNumberFormat="1" applyFont="1" applyFill="1" applyBorder="1" applyAlignment="1">
      <alignment horizontal="center" vertical="center" shrinkToFit="1"/>
    </xf>
    <xf numFmtId="174" fontId="5" fillId="6" borderId="7" xfId="0" applyNumberFormat="1" applyFont="1" applyFill="1" applyBorder="1" applyAlignment="1">
      <alignment horizontal="center" vertical="center" shrinkToFit="1"/>
    </xf>
    <xf numFmtId="177" fontId="2" fillId="0" borderId="0" xfId="1" applyNumberFormat="1" applyFont="1" applyFill="1" applyBorder="1" applyAlignment="1">
      <alignment horizontal="center" vertical="center" shrinkToFit="1"/>
    </xf>
    <xf numFmtId="177" fontId="2" fillId="0" borderId="0" xfId="5" applyNumberFormat="1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/>
    </xf>
    <xf numFmtId="174" fontId="4" fillId="6" borderId="8" xfId="3" applyNumberFormat="1" applyFont="1" applyFill="1" applyBorder="1" applyAlignment="1">
      <alignment horizontal="center" vertical="center"/>
    </xf>
    <xf numFmtId="174" fontId="4" fillId="0" borderId="8" xfId="3" applyNumberFormat="1" applyFont="1" applyBorder="1" applyAlignment="1">
      <alignment horizontal="center" vertical="center"/>
    </xf>
    <xf numFmtId="174" fontId="3" fillId="0" borderId="40" xfId="0" applyNumberFormat="1" applyFont="1" applyBorder="1" applyAlignment="1">
      <alignment horizontal="center" vertical="center" shrinkToFit="1"/>
    </xf>
    <xf numFmtId="174" fontId="3" fillId="0" borderId="39" xfId="0" applyNumberFormat="1" applyFont="1" applyBorder="1" applyAlignment="1">
      <alignment horizontal="center" vertical="center" shrinkToFit="1"/>
    </xf>
    <xf numFmtId="174" fontId="5" fillId="6" borderId="40" xfId="0" applyNumberFormat="1" applyFont="1" applyFill="1" applyBorder="1" applyAlignment="1">
      <alignment horizontal="center" vertical="center" shrinkToFit="1"/>
    </xf>
    <xf numFmtId="174" fontId="5" fillId="6" borderId="39" xfId="0" applyNumberFormat="1" applyFont="1" applyFill="1" applyBorder="1" applyAlignment="1">
      <alignment horizontal="center" vertical="center" shrinkToFit="1"/>
    </xf>
    <xf numFmtId="165" fontId="25" fillId="2" borderId="2" xfId="0" applyNumberFormat="1" applyFont="1" applyFill="1" applyBorder="1" applyAlignment="1">
      <alignment horizontal="center" vertical="center" shrinkToFit="1"/>
    </xf>
    <xf numFmtId="165" fontId="26" fillId="2" borderId="1" xfId="0" applyNumberFormat="1" applyFont="1" applyFill="1" applyBorder="1" applyAlignment="1">
      <alignment horizontal="center" vertical="center" shrinkToFit="1"/>
    </xf>
    <xf numFmtId="165" fontId="27" fillId="2" borderId="2" xfId="0" applyNumberFormat="1" applyFont="1" applyFill="1" applyBorder="1" applyAlignment="1">
      <alignment horizontal="center" vertical="center" shrinkToFit="1"/>
    </xf>
    <xf numFmtId="167" fontId="18" fillId="2" borderId="3" xfId="0" applyNumberFormat="1" applyFont="1" applyFill="1" applyBorder="1" applyAlignment="1">
      <alignment horizontal="center" vertical="center" shrinkToFit="1"/>
    </xf>
    <xf numFmtId="49" fontId="4" fillId="0" borderId="12" xfId="0" applyNumberFormat="1" applyFont="1" applyBorder="1" applyAlignment="1">
      <alignment horizontal="center" vertical="center" shrinkToFit="1"/>
    </xf>
    <xf numFmtId="49" fontId="8" fillId="0" borderId="12" xfId="0" applyNumberFormat="1" applyFont="1" applyBorder="1" applyAlignment="1">
      <alignment horizontal="center" vertical="center" shrinkToFit="1"/>
    </xf>
    <xf numFmtId="171" fontId="9" fillId="0" borderId="12" xfId="0" applyNumberFormat="1" applyFont="1" applyBorder="1" applyAlignment="1">
      <alignment horizontal="center" vertical="center" shrinkToFit="1"/>
    </xf>
    <xf numFmtId="16" fontId="28" fillId="3" borderId="0" xfId="0" applyNumberFormat="1" applyFont="1" applyFill="1"/>
    <xf numFmtId="174" fontId="3" fillId="6" borderId="7" xfId="0" applyNumberFormat="1" applyFont="1" applyFill="1" applyBorder="1" applyAlignment="1">
      <alignment horizontal="center" vertical="center" shrinkToFit="1"/>
    </xf>
    <xf numFmtId="174" fontId="3" fillId="6" borderId="8" xfId="0" applyNumberFormat="1" applyFont="1" applyFill="1" applyBorder="1" applyAlignment="1">
      <alignment horizontal="center" vertical="center" shrinkToFit="1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168" fontId="10" fillId="2" borderId="3" xfId="0" applyNumberFormat="1" applyFont="1" applyFill="1" applyBorder="1" applyAlignment="1">
      <alignment horizontal="center" vertical="center" shrinkToFit="1"/>
    </xf>
    <xf numFmtId="168" fontId="10" fillId="2" borderId="4" xfId="0" applyNumberFormat="1" applyFont="1" applyFill="1" applyBorder="1" applyAlignment="1">
      <alignment horizontal="center" vertical="center" shrinkToFit="1"/>
    </xf>
    <xf numFmtId="165" fontId="9" fillId="0" borderId="3" xfId="0" applyNumberFormat="1" applyFont="1" applyBorder="1" applyAlignment="1">
      <alignment horizontal="center" vertical="center" shrinkToFit="1"/>
    </xf>
    <xf numFmtId="165" fontId="9" fillId="0" borderId="4" xfId="0" applyNumberFormat="1" applyFont="1" applyBorder="1" applyAlignment="1">
      <alignment horizontal="center" vertical="center" shrinkToFit="1"/>
    </xf>
    <xf numFmtId="168" fontId="6" fillId="2" borderId="3" xfId="0" applyNumberFormat="1" applyFont="1" applyFill="1" applyBorder="1" applyAlignment="1">
      <alignment horizontal="center" vertical="center" shrinkToFit="1"/>
    </xf>
    <xf numFmtId="168" fontId="6" fillId="2" borderId="4" xfId="0" applyNumberFormat="1" applyFont="1" applyFill="1" applyBorder="1" applyAlignment="1">
      <alignment horizontal="center" vertical="center" shrinkToFit="1"/>
    </xf>
    <xf numFmtId="168" fontId="6" fillId="2" borderId="11" xfId="0" applyNumberFormat="1" applyFont="1" applyFill="1" applyBorder="1" applyAlignment="1">
      <alignment horizontal="center" vertical="center" shrinkToFit="1"/>
    </xf>
    <xf numFmtId="165" fontId="9" fillId="8" borderId="3" xfId="0" applyNumberFormat="1" applyFont="1" applyFill="1" applyBorder="1" applyAlignment="1">
      <alignment horizontal="center" vertical="center" shrinkToFit="1"/>
    </xf>
    <xf numFmtId="165" fontId="9" fillId="8" borderId="4" xfId="0" applyNumberFormat="1" applyFont="1" applyFill="1" applyBorder="1" applyAlignment="1">
      <alignment horizontal="center" vertical="center" shrinkToFit="1"/>
    </xf>
    <xf numFmtId="165" fontId="9" fillId="8" borderId="11" xfId="0" applyNumberFormat="1" applyFont="1" applyFill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174" fontId="9" fillId="0" borderId="6" xfId="3" applyNumberFormat="1" applyFont="1" applyBorder="1" applyAlignment="1">
      <alignment horizontal="center" vertical="center" wrapText="1"/>
    </xf>
    <xf numFmtId="174" fontId="9" fillId="0" borderId="8" xfId="3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 shrinkToFit="1"/>
    </xf>
    <xf numFmtId="0" fontId="20" fillId="0" borderId="26" xfId="0" applyFont="1" applyBorder="1" applyAlignment="1">
      <alignment horizontal="center" vertical="center" wrapText="1" shrinkToFit="1"/>
    </xf>
    <xf numFmtId="0" fontId="22" fillId="0" borderId="2" xfId="0" applyFont="1" applyBorder="1" applyAlignment="1">
      <alignment horizontal="center" vertical="center" wrapText="1" shrinkToFit="1"/>
    </xf>
    <xf numFmtId="0" fontId="22" fillId="0" borderId="30" xfId="0" applyFont="1" applyBorder="1" applyAlignment="1">
      <alignment horizontal="center" vertical="center" wrapText="1" shrinkToFit="1"/>
    </xf>
    <xf numFmtId="0" fontId="22" fillId="0" borderId="32" xfId="0" applyFont="1" applyBorder="1" applyAlignment="1">
      <alignment horizontal="center" vertical="center" wrapText="1" shrinkToFit="1"/>
    </xf>
  </cellXfs>
  <cellStyles count="6">
    <cellStyle name="Comma" xfId="1" builtinId="3"/>
    <cellStyle name="Currency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5" xfId="5" xr:uid="{683B408F-DC84-4B25-BF81-3D655423312A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FF3F0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2</xdr:row>
      <xdr:rowOff>40821</xdr:rowOff>
    </xdr:from>
    <xdr:to>
      <xdr:col>22</xdr:col>
      <xdr:colOff>0</xdr:colOff>
      <xdr:row>38</xdr:row>
      <xdr:rowOff>122463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B1A83-57CE-4A0B-5219-9AB40F77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357" y="421821"/>
          <a:ext cx="12681857" cy="7021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89"/>
  <sheetViews>
    <sheetView zoomScale="64" zoomScaleNormal="64" workbookViewId="0">
      <pane xSplit="1" ySplit="13" topLeftCell="C14" activePane="bottomRight" state="frozen"/>
      <selection pane="topRight" activeCell="B1" sqref="B1"/>
      <selection pane="bottomLeft" activeCell="A14" sqref="A14"/>
      <selection pane="bottomRight" activeCell="P13" sqref="P13"/>
    </sheetView>
  </sheetViews>
  <sheetFormatPr defaultColWidth="9.140625" defaultRowHeight="18" x14ac:dyDescent="0.25"/>
  <cols>
    <col min="1" max="1" width="21.140625" style="6" customWidth="1"/>
    <col min="2" max="13" width="17.85546875" style="6" customWidth="1"/>
    <col min="14" max="16" width="15.7109375" style="80" customWidth="1"/>
    <col min="17" max="16384" width="9.140625" style="6"/>
  </cols>
  <sheetData>
    <row r="1" spans="1:16" ht="18.75" thickBot="1" x14ac:dyDescent="0.3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1"/>
      <c r="O1" s="61"/>
      <c r="P1" s="61"/>
    </row>
    <row r="2" spans="1:16" ht="24.75" customHeight="1" x14ac:dyDescent="0.25">
      <c r="A2" s="7"/>
      <c r="B2" s="153" t="s">
        <v>4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5"/>
    </row>
    <row r="3" spans="1:16" ht="45.75" customHeight="1" x14ac:dyDescent="0.25">
      <c r="A3" s="8"/>
      <c r="B3" s="158" t="s">
        <v>39</v>
      </c>
      <c r="C3" s="159"/>
      <c r="D3" s="159"/>
      <c r="E3" s="158" t="s">
        <v>1</v>
      </c>
      <c r="F3" s="159"/>
      <c r="G3" s="159"/>
      <c r="H3" s="158" t="s">
        <v>129</v>
      </c>
      <c r="I3" s="159"/>
      <c r="J3" s="159"/>
      <c r="K3" s="158" t="s">
        <v>130</v>
      </c>
      <c r="L3" s="159"/>
      <c r="M3" s="159"/>
      <c r="N3" s="163" t="s">
        <v>38</v>
      </c>
      <c r="O3" s="164"/>
      <c r="P3" s="165"/>
    </row>
    <row r="4" spans="1:16" ht="29.25" customHeight="1" x14ac:dyDescent="0.25">
      <c r="A4" s="7" t="s">
        <v>9</v>
      </c>
      <c r="B4" s="156" t="s">
        <v>10</v>
      </c>
      <c r="C4" s="157"/>
      <c r="D4" s="157"/>
      <c r="E4" s="156" t="s">
        <v>11</v>
      </c>
      <c r="F4" s="157"/>
      <c r="G4" s="157"/>
      <c r="H4" s="156" t="s">
        <v>131</v>
      </c>
      <c r="I4" s="157"/>
      <c r="J4" s="157"/>
      <c r="K4" s="156" t="s">
        <v>131</v>
      </c>
      <c r="L4" s="157"/>
      <c r="M4" s="157"/>
      <c r="N4" s="160"/>
      <c r="O4" s="161"/>
      <c r="P4" s="162"/>
    </row>
    <row r="5" spans="1:16" ht="29.25" customHeight="1" x14ac:dyDescent="0.25">
      <c r="A5" s="7" t="s">
        <v>2</v>
      </c>
      <c r="B5" s="144" t="s">
        <v>126</v>
      </c>
      <c r="C5" s="145" t="s">
        <v>127</v>
      </c>
      <c r="D5" s="143" t="s">
        <v>128</v>
      </c>
      <c r="E5" s="144" t="s">
        <v>126</v>
      </c>
      <c r="F5" s="145" t="s">
        <v>127</v>
      </c>
      <c r="G5" s="143" t="s">
        <v>128</v>
      </c>
      <c r="H5" s="144" t="s">
        <v>126</v>
      </c>
      <c r="I5" s="145" t="s">
        <v>127</v>
      </c>
      <c r="J5" s="143" t="s">
        <v>128</v>
      </c>
      <c r="K5" s="144" t="s">
        <v>126</v>
      </c>
      <c r="L5" s="145" t="s">
        <v>127</v>
      </c>
      <c r="M5" s="143" t="s">
        <v>128</v>
      </c>
      <c r="N5" s="62"/>
      <c r="O5" s="63"/>
      <c r="P5" s="83"/>
    </row>
    <row r="6" spans="1:16" ht="29.25" customHeight="1" x14ac:dyDescent="0.25">
      <c r="A6" s="7" t="s">
        <v>3</v>
      </c>
      <c r="B6" s="27" t="s">
        <v>123</v>
      </c>
      <c r="C6" s="28" t="s">
        <v>124</v>
      </c>
      <c r="D6" s="28" t="s">
        <v>125</v>
      </c>
      <c r="E6" s="27" t="s">
        <v>123</v>
      </c>
      <c r="F6" s="28" t="s">
        <v>124</v>
      </c>
      <c r="G6" s="28" t="s">
        <v>125</v>
      </c>
      <c r="H6" s="27" t="s">
        <v>123</v>
      </c>
      <c r="I6" s="28" t="s">
        <v>124</v>
      </c>
      <c r="J6" s="28" t="s">
        <v>125</v>
      </c>
      <c r="K6" s="27" t="s">
        <v>123</v>
      </c>
      <c r="L6" s="28" t="s">
        <v>124</v>
      </c>
      <c r="M6" s="28" t="s">
        <v>125</v>
      </c>
      <c r="N6" s="62" t="s">
        <v>123</v>
      </c>
      <c r="O6" s="63" t="s">
        <v>124</v>
      </c>
      <c r="P6" s="83" t="s">
        <v>125</v>
      </c>
    </row>
    <row r="7" spans="1:16" ht="29.25" customHeight="1" x14ac:dyDescent="0.25">
      <c r="A7" s="9" t="s">
        <v>8</v>
      </c>
      <c r="B7" s="10" t="s">
        <v>33</v>
      </c>
      <c r="C7" s="11" t="s">
        <v>33</v>
      </c>
      <c r="D7" s="11" t="s">
        <v>33</v>
      </c>
      <c r="E7" s="10" t="s">
        <v>34</v>
      </c>
      <c r="F7" s="11" t="s">
        <v>34</v>
      </c>
      <c r="G7" s="11" t="s">
        <v>34</v>
      </c>
      <c r="H7" s="10" t="s">
        <v>34</v>
      </c>
      <c r="I7" s="11" t="s">
        <v>34</v>
      </c>
      <c r="J7" s="11" t="s">
        <v>34</v>
      </c>
      <c r="K7" s="10" t="s">
        <v>133</v>
      </c>
      <c r="L7" s="11" t="s">
        <v>133</v>
      </c>
      <c r="M7" s="11" t="s">
        <v>133</v>
      </c>
      <c r="N7" s="64"/>
      <c r="O7" s="65"/>
      <c r="P7" s="84"/>
    </row>
    <row r="8" spans="1:16" ht="29.25" customHeight="1" x14ac:dyDescent="0.25">
      <c r="A8" s="7" t="s">
        <v>7</v>
      </c>
      <c r="B8" s="27"/>
      <c r="C8" s="28"/>
      <c r="D8" s="28"/>
      <c r="E8" s="27"/>
      <c r="F8" s="28"/>
      <c r="G8" s="28"/>
      <c r="H8" s="27"/>
      <c r="I8" s="28"/>
      <c r="J8" s="28"/>
      <c r="K8" s="27"/>
      <c r="L8" s="28"/>
      <c r="M8" s="28"/>
      <c r="N8" s="62"/>
      <c r="O8" s="63"/>
      <c r="P8" s="83"/>
    </row>
    <row r="9" spans="1:16" ht="29.25" customHeight="1" x14ac:dyDescent="0.25">
      <c r="A9" s="12" t="s">
        <v>37</v>
      </c>
      <c r="B9" s="13">
        <v>202.8</v>
      </c>
      <c r="C9" s="14">
        <v>202.8</v>
      </c>
      <c r="D9" s="14">
        <v>202.8</v>
      </c>
      <c r="E9" s="92">
        <v>982.8</v>
      </c>
      <c r="F9" s="14">
        <v>982.8</v>
      </c>
      <c r="G9" s="14">
        <v>982.8</v>
      </c>
      <c r="H9" s="92">
        <v>468</v>
      </c>
      <c r="I9" s="14">
        <v>468</v>
      </c>
      <c r="J9" s="14">
        <v>468</v>
      </c>
      <c r="K9" s="92">
        <v>811.2</v>
      </c>
      <c r="L9" s="14">
        <v>811.2</v>
      </c>
      <c r="M9" s="94">
        <v>811.2</v>
      </c>
      <c r="N9" s="146">
        <f>+B9+E9+H9+K9</f>
        <v>2464.8000000000002</v>
      </c>
      <c r="O9" s="66">
        <f>+C9+F9+I9+L9</f>
        <v>2464.8000000000002</v>
      </c>
      <c r="P9" s="85">
        <f>+D9+G9+J9+M9</f>
        <v>2464.8000000000002</v>
      </c>
    </row>
    <row r="10" spans="1:16" ht="29.25" customHeight="1" x14ac:dyDescent="0.25">
      <c r="A10" s="15" t="s">
        <v>35</v>
      </c>
      <c r="B10" s="16">
        <v>201</v>
      </c>
      <c r="C10" s="17">
        <v>201</v>
      </c>
      <c r="D10" s="17">
        <v>201</v>
      </c>
      <c r="E10" s="93">
        <v>982</v>
      </c>
      <c r="F10" s="17">
        <v>982</v>
      </c>
      <c r="G10" s="17">
        <v>982</v>
      </c>
      <c r="H10" s="93">
        <v>465</v>
      </c>
      <c r="I10" s="17">
        <v>465</v>
      </c>
      <c r="J10" s="17">
        <v>465</v>
      </c>
      <c r="K10" s="93">
        <v>802</v>
      </c>
      <c r="L10" s="17">
        <v>802</v>
      </c>
      <c r="M10" s="95">
        <v>802</v>
      </c>
      <c r="N10" s="67">
        <f>+B10+E10+H10+K10</f>
        <v>2450</v>
      </c>
      <c r="O10" s="68">
        <f>+C10+F10+I10+L10</f>
        <v>2450</v>
      </c>
      <c r="P10" s="86">
        <f t="shared" ref="P10" si="0">+D10+G10+J10+M10</f>
        <v>2450</v>
      </c>
    </row>
    <row r="11" spans="1:16" ht="29.25" customHeight="1" x14ac:dyDescent="0.25">
      <c r="A11" s="18" t="s">
        <v>36</v>
      </c>
      <c r="B11" s="19">
        <f>B9+B10</f>
        <v>403.8</v>
      </c>
      <c r="C11" s="20">
        <f t="shared" ref="C11:D11" si="1">C9+C10</f>
        <v>403.8</v>
      </c>
      <c r="D11" s="20">
        <f t="shared" si="1"/>
        <v>403.8</v>
      </c>
      <c r="E11" s="19">
        <f>E9+E10</f>
        <v>1964.8</v>
      </c>
      <c r="F11" s="20">
        <f t="shared" ref="F11:G11" si="2">F9+F10</f>
        <v>1964.8</v>
      </c>
      <c r="G11" s="20">
        <f t="shared" si="2"/>
        <v>1964.8</v>
      </c>
      <c r="H11" s="19">
        <f>H9+H10</f>
        <v>933</v>
      </c>
      <c r="I11" s="20">
        <f t="shared" ref="I11:J11" si="3">I9+I10</f>
        <v>933</v>
      </c>
      <c r="J11" s="20">
        <f t="shared" si="3"/>
        <v>933</v>
      </c>
      <c r="K11" s="19">
        <f>K9+K10</f>
        <v>1613.2</v>
      </c>
      <c r="L11" s="20">
        <f t="shared" ref="L11:M11" si="4">L9+L10</f>
        <v>1613.2</v>
      </c>
      <c r="M11" s="20">
        <f t="shared" si="4"/>
        <v>1613.2</v>
      </c>
      <c r="N11" s="69">
        <f t="shared" ref="N11:P11" si="5">N9+N10</f>
        <v>4914.8</v>
      </c>
      <c r="O11" s="70">
        <f t="shared" si="5"/>
        <v>4914.8</v>
      </c>
      <c r="P11" s="87">
        <f t="shared" si="5"/>
        <v>4914.8</v>
      </c>
    </row>
    <row r="12" spans="1:16" ht="29.25" customHeight="1" x14ac:dyDescent="0.25">
      <c r="A12" s="7" t="s">
        <v>6</v>
      </c>
      <c r="B12" s="21">
        <v>79064826</v>
      </c>
      <c r="C12" s="22">
        <v>79064828</v>
      </c>
      <c r="D12" s="22">
        <v>79064836</v>
      </c>
      <c r="E12" s="21">
        <v>79064826</v>
      </c>
      <c r="F12" s="22">
        <v>79064828</v>
      </c>
      <c r="G12" s="22">
        <v>79064836</v>
      </c>
      <c r="H12" s="21">
        <v>79064826</v>
      </c>
      <c r="I12" s="22">
        <v>79064828</v>
      </c>
      <c r="J12" s="22">
        <v>79064836</v>
      </c>
      <c r="K12" s="21">
        <v>79064827</v>
      </c>
      <c r="L12" s="22">
        <v>79064829</v>
      </c>
      <c r="M12" s="22">
        <v>79064837</v>
      </c>
      <c r="N12" s="71"/>
      <c r="O12" s="72"/>
      <c r="P12" s="88"/>
    </row>
    <row r="13" spans="1:16" ht="29.25" customHeight="1" x14ac:dyDescent="0.25">
      <c r="A13" s="7" t="s">
        <v>5</v>
      </c>
      <c r="B13" s="10" t="s">
        <v>0</v>
      </c>
      <c r="C13" s="11" t="s">
        <v>0</v>
      </c>
      <c r="D13" s="11" t="s">
        <v>0</v>
      </c>
      <c r="E13" s="10" t="s">
        <v>0</v>
      </c>
      <c r="F13" s="11" t="s">
        <v>0</v>
      </c>
      <c r="G13" s="11" t="s">
        <v>0</v>
      </c>
      <c r="H13" s="10" t="s">
        <v>0</v>
      </c>
      <c r="I13" s="11" t="s">
        <v>0</v>
      </c>
      <c r="J13" s="11" t="s">
        <v>0</v>
      </c>
      <c r="K13" s="10" t="s">
        <v>132</v>
      </c>
      <c r="L13" s="11" t="s">
        <v>132</v>
      </c>
      <c r="M13" s="11" t="s">
        <v>132</v>
      </c>
      <c r="N13" s="73"/>
      <c r="O13" s="74"/>
      <c r="P13" s="75"/>
    </row>
    <row r="14" spans="1:16" x14ac:dyDescent="0.25">
      <c r="A14" s="3" t="s">
        <v>53</v>
      </c>
      <c r="B14" s="131">
        <v>0</v>
      </c>
      <c r="C14" s="23">
        <v>0</v>
      </c>
      <c r="D14" s="23">
        <v>0</v>
      </c>
      <c r="E14" s="131">
        <v>0</v>
      </c>
      <c r="F14" s="23">
        <v>0</v>
      </c>
      <c r="G14" s="23">
        <v>0</v>
      </c>
      <c r="H14" s="131">
        <v>0</v>
      </c>
      <c r="I14" s="23">
        <v>0</v>
      </c>
      <c r="J14" s="23">
        <v>0</v>
      </c>
      <c r="K14" s="131">
        <v>0</v>
      </c>
      <c r="L14" s="23">
        <v>0</v>
      </c>
      <c r="M14" s="23">
        <v>0</v>
      </c>
      <c r="N14" s="76">
        <f>+B14+E14+K14+H14</f>
        <v>0</v>
      </c>
      <c r="O14" s="77">
        <f>+C14+F14+L14+I14</f>
        <v>0</v>
      </c>
      <c r="P14" s="89">
        <f>+D14+G14+M14+J14</f>
        <v>0</v>
      </c>
    </row>
    <row r="15" spans="1:16" x14ac:dyDescent="0.25">
      <c r="A15" s="3" t="s">
        <v>54</v>
      </c>
      <c r="B15" s="132">
        <v>0</v>
      </c>
      <c r="C15" s="24">
        <v>0</v>
      </c>
      <c r="D15" s="24">
        <v>0</v>
      </c>
      <c r="E15" s="132">
        <v>0</v>
      </c>
      <c r="F15" s="24">
        <v>0</v>
      </c>
      <c r="G15" s="24">
        <v>0</v>
      </c>
      <c r="H15" s="132">
        <v>0</v>
      </c>
      <c r="I15" s="24">
        <v>0</v>
      </c>
      <c r="J15" s="24">
        <v>0</v>
      </c>
      <c r="K15" s="132">
        <v>0</v>
      </c>
      <c r="L15" s="24">
        <v>0</v>
      </c>
      <c r="M15" s="24">
        <v>0</v>
      </c>
      <c r="N15" s="78">
        <f t="shared" ref="N15:N78" si="6">+B15+E15+K15+H15</f>
        <v>0</v>
      </c>
      <c r="O15" s="79">
        <f t="shared" ref="O15:O78" si="7">+C15+F15+L15+I15</f>
        <v>0</v>
      </c>
      <c r="P15" s="90">
        <f t="shared" ref="P15:P78" si="8">+D15+G15+M15+J15</f>
        <v>0</v>
      </c>
    </row>
    <row r="16" spans="1:16" x14ac:dyDescent="0.25">
      <c r="A16" s="3" t="s">
        <v>55</v>
      </c>
      <c r="B16" s="132">
        <v>0</v>
      </c>
      <c r="C16" s="24">
        <v>0</v>
      </c>
      <c r="D16" s="24">
        <v>0</v>
      </c>
      <c r="E16" s="132">
        <v>0</v>
      </c>
      <c r="F16" s="24">
        <v>0</v>
      </c>
      <c r="G16" s="24">
        <v>0</v>
      </c>
      <c r="H16" s="132">
        <v>0</v>
      </c>
      <c r="I16" s="24">
        <v>0</v>
      </c>
      <c r="J16" s="24">
        <v>0</v>
      </c>
      <c r="K16" s="132">
        <v>0</v>
      </c>
      <c r="L16" s="24">
        <v>0</v>
      </c>
      <c r="M16" s="24">
        <v>0</v>
      </c>
      <c r="N16" s="78">
        <f t="shared" si="6"/>
        <v>0</v>
      </c>
      <c r="O16" s="79">
        <f t="shared" si="7"/>
        <v>0</v>
      </c>
      <c r="P16" s="90">
        <f t="shared" si="8"/>
        <v>0</v>
      </c>
    </row>
    <row r="17" spans="1:16" x14ac:dyDescent="0.25">
      <c r="A17" s="3" t="s">
        <v>56</v>
      </c>
      <c r="B17" s="132">
        <v>0</v>
      </c>
      <c r="C17" s="24">
        <v>0</v>
      </c>
      <c r="D17" s="24">
        <v>0</v>
      </c>
      <c r="E17" s="132">
        <v>0</v>
      </c>
      <c r="F17" s="24">
        <v>0</v>
      </c>
      <c r="G17" s="24">
        <v>0</v>
      </c>
      <c r="H17" s="132">
        <v>0</v>
      </c>
      <c r="I17" s="24">
        <v>0</v>
      </c>
      <c r="J17" s="24">
        <v>0</v>
      </c>
      <c r="K17" s="132">
        <v>0</v>
      </c>
      <c r="L17" s="24">
        <v>0</v>
      </c>
      <c r="M17" s="24">
        <v>0</v>
      </c>
      <c r="N17" s="78">
        <f t="shared" si="6"/>
        <v>0</v>
      </c>
      <c r="O17" s="79">
        <f t="shared" si="7"/>
        <v>0</v>
      </c>
      <c r="P17" s="90">
        <f t="shared" si="8"/>
        <v>0</v>
      </c>
    </row>
    <row r="18" spans="1:16" x14ac:dyDescent="0.25">
      <c r="A18" s="3" t="s">
        <v>57</v>
      </c>
      <c r="B18" s="132">
        <v>0</v>
      </c>
      <c r="C18" s="24">
        <v>0</v>
      </c>
      <c r="D18" s="24">
        <v>0</v>
      </c>
      <c r="E18" s="132">
        <v>0</v>
      </c>
      <c r="F18" s="24">
        <v>0</v>
      </c>
      <c r="G18" s="24">
        <v>0</v>
      </c>
      <c r="H18" s="132">
        <v>0</v>
      </c>
      <c r="I18" s="24">
        <v>0</v>
      </c>
      <c r="J18" s="24">
        <v>0</v>
      </c>
      <c r="K18" s="132">
        <v>0</v>
      </c>
      <c r="L18" s="24">
        <v>0</v>
      </c>
      <c r="M18" s="24">
        <v>0</v>
      </c>
      <c r="N18" s="78">
        <f t="shared" si="6"/>
        <v>0</v>
      </c>
      <c r="O18" s="79">
        <f t="shared" si="7"/>
        <v>0</v>
      </c>
      <c r="P18" s="90">
        <f t="shared" si="8"/>
        <v>0</v>
      </c>
    </row>
    <row r="19" spans="1:16" x14ac:dyDescent="0.25">
      <c r="A19" s="3" t="s">
        <v>58</v>
      </c>
      <c r="B19" s="132">
        <v>0</v>
      </c>
      <c r="C19" s="24">
        <v>0</v>
      </c>
      <c r="D19" s="24">
        <v>0</v>
      </c>
      <c r="E19" s="132">
        <v>0</v>
      </c>
      <c r="F19" s="24">
        <v>0</v>
      </c>
      <c r="G19" s="24">
        <v>0</v>
      </c>
      <c r="H19" s="132">
        <v>0</v>
      </c>
      <c r="I19" s="24">
        <v>0</v>
      </c>
      <c r="J19" s="24">
        <v>0</v>
      </c>
      <c r="K19" s="132">
        <v>0</v>
      </c>
      <c r="L19" s="24">
        <v>0</v>
      </c>
      <c r="M19" s="24">
        <v>0</v>
      </c>
      <c r="N19" s="78">
        <f t="shared" si="6"/>
        <v>0</v>
      </c>
      <c r="O19" s="79">
        <f t="shared" si="7"/>
        <v>0</v>
      </c>
      <c r="P19" s="90">
        <f t="shared" si="8"/>
        <v>0</v>
      </c>
    </row>
    <row r="20" spans="1:16" x14ac:dyDescent="0.25">
      <c r="A20" s="3" t="s">
        <v>59</v>
      </c>
      <c r="B20" s="132">
        <v>0</v>
      </c>
      <c r="C20" s="24">
        <v>0</v>
      </c>
      <c r="D20" s="24">
        <v>0</v>
      </c>
      <c r="E20" s="132">
        <v>0</v>
      </c>
      <c r="F20" s="24">
        <v>0</v>
      </c>
      <c r="G20" s="24">
        <v>0</v>
      </c>
      <c r="H20" s="132">
        <v>0</v>
      </c>
      <c r="I20" s="24">
        <v>0</v>
      </c>
      <c r="J20" s="24">
        <v>0</v>
      </c>
      <c r="K20" s="132">
        <v>0</v>
      </c>
      <c r="L20" s="24">
        <v>0</v>
      </c>
      <c r="M20" s="24">
        <v>0</v>
      </c>
      <c r="N20" s="78">
        <f t="shared" si="6"/>
        <v>0</v>
      </c>
      <c r="O20" s="79">
        <f t="shared" si="7"/>
        <v>0</v>
      </c>
      <c r="P20" s="90">
        <f t="shared" si="8"/>
        <v>0</v>
      </c>
    </row>
    <row r="21" spans="1:16" x14ac:dyDescent="0.25">
      <c r="A21" s="3" t="s">
        <v>60</v>
      </c>
      <c r="B21" s="132">
        <v>0</v>
      </c>
      <c r="C21" s="24">
        <v>0</v>
      </c>
      <c r="D21" s="24">
        <v>0</v>
      </c>
      <c r="E21" s="132">
        <v>0</v>
      </c>
      <c r="F21" s="24">
        <v>0</v>
      </c>
      <c r="G21" s="24">
        <v>0</v>
      </c>
      <c r="H21" s="132">
        <v>0</v>
      </c>
      <c r="I21" s="24">
        <v>0</v>
      </c>
      <c r="J21" s="24">
        <v>0</v>
      </c>
      <c r="K21" s="132">
        <v>0</v>
      </c>
      <c r="L21" s="24">
        <v>0</v>
      </c>
      <c r="M21" s="24">
        <v>0</v>
      </c>
      <c r="N21" s="78">
        <f t="shared" si="6"/>
        <v>0</v>
      </c>
      <c r="O21" s="79">
        <f t="shared" si="7"/>
        <v>0</v>
      </c>
      <c r="P21" s="90">
        <f t="shared" si="8"/>
        <v>0</v>
      </c>
    </row>
    <row r="22" spans="1:16" x14ac:dyDescent="0.25">
      <c r="A22" s="3" t="s">
        <v>61</v>
      </c>
      <c r="B22" s="132">
        <v>0</v>
      </c>
      <c r="C22" s="24">
        <v>0</v>
      </c>
      <c r="D22" s="24">
        <v>0</v>
      </c>
      <c r="E22" s="132">
        <v>0</v>
      </c>
      <c r="F22" s="24">
        <v>0</v>
      </c>
      <c r="G22" s="24">
        <v>0</v>
      </c>
      <c r="H22" s="132">
        <v>0</v>
      </c>
      <c r="I22" s="24">
        <v>0</v>
      </c>
      <c r="J22" s="24">
        <v>0</v>
      </c>
      <c r="K22" s="132">
        <v>0</v>
      </c>
      <c r="L22" s="24">
        <v>0</v>
      </c>
      <c r="M22" s="24">
        <v>0</v>
      </c>
      <c r="N22" s="78">
        <f t="shared" si="6"/>
        <v>0</v>
      </c>
      <c r="O22" s="79">
        <f t="shared" si="7"/>
        <v>0</v>
      </c>
      <c r="P22" s="90">
        <f t="shared" si="8"/>
        <v>0</v>
      </c>
    </row>
    <row r="23" spans="1:16" x14ac:dyDescent="0.25">
      <c r="A23" s="3" t="s">
        <v>62</v>
      </c>
      <c r="B23" s="132">
        <v>0</v>
      </c>
      <c r="C23" s="24">
        <v>0</v>
      </c>
      <c r="D23" s="24">
        <v>0</v>
      </c>
      <c r="E23" s="132">
        <v>0</v>
      </c>
      <c r="F23" s="24">
        <v>0</v>
      </c>
      <c r="G23" s="24">
        <v>0</v>
      </c>
      <c r="H23" s="132">
        <v>0</v>
      </c>
      <c r="I23" s="24">
        <v>0</v>
      </c>
      <c r="J23" s="24">
        <v>0</v>
      </c>
      <c r="K23" s="132">
        <v>0</v>
      </c>
      <c r="L23" s="24">
        <v>0</v>
      </c>
      <c r="M23" s="24">
        <v>0</v>
      </c>
      <c r="N23" s="78">
        <f t="shared" si="6"/>
        <v>0</v>
      </c>
      <c r="O23" s="79">
        <f t="shared" si="7"/>
        <v>0</v>
      </c>
      <c r="P23" s="90">
        <f t="shared" si="8"/>
        <v>0</v>
      </c>
    </row>
    <row r="24" spans="1:16" x14ac:dyDescent="0.25">
      <c r="A24" s="3" t="s">
        <v>63</v>
      </c>
      <c r="B24" s="132">
        <v>0</v>
      </c>
      <c r="C24" s="24">
        <v>0</v>
      </c>
      <c r="D24" s="24">
        <v>0</v>
      </c>
      <c r="E24" s="132">
        <v>0</v>
      </c>
      <c r="F24" s="24">
        <v>0</v>
      </c>
      <c r="G24" s="24">
        <v>0</v>
      </c>
      <c r="H24" s="132">
        <v>0</v>
      </c>
      <c r="I24" s="24">
        <v>0</v>
      </c>
      <c r="J24" s="24">
        <v>0</v>
      </c>
      <c r="K24" s="132">
        <v>0</v>
      </c>
      <c r="L24" s="24">
        <v>0</v>
      </c>
      <c r="M24" s="24">
        <v>0</v>
      </c>
      <c r="N24" s="78">
        <f t="shared" si="6"/>
        <v>0</v>
      </c>
      <c r="O24" s="79">
        <f t="shared" si="7"/>
        <v>0</v>
      </c>
      <c r="P24" s="90">
        <f t="shared" si="8"/>
        <v>0</v>
      </c>
    </row>
    <row r="25" spans="1:16" x14ac:dyDescent="0.25">
      <c r="A25" s="3" t="s">
        <v>70</v>
      </c>
      <c r="B25" s="132">
        <v>0</v>
      </c>
      <c r="C25" s="24">
        <v>0</v>
      </c>
      <c r="D25" s="24">
        <v>0</v>
      </c>
      <c r="E25" s="132">
        <v>0</v>
      </c>
      <c r="F25" s="24">
        <v>0</v>
      </c>
      <c r="G25" s="24">
        <v>0</v>
      </c>
      <c r="H25" s="132">
        <v>0</v>
      </c>
      <c r="I25" s="24">
        <v>0</v>
      </c>
      <c r="J25" s="24">
        <v>0</v>
      </c>
      <c r="K25" s="132">
        <v>0</v>
      </c>
      <c r="L25" s="24">
        <v>0</v>
      </c>
      <c r="M25" s="24">
        <v>0</v>
      </c>
      <c r="N25" s="78">
        <f t="shared" si="6"/>
        <v>0</v>
      </c>
      <c r="O25" s="79">
        <f t="shared" si="7"/>
        <v>0</v>
      </c>
      <c r="P25" s="90">
        <f t="shared" si="8"/>
        <v>0</v>
      </c>
    </row>
    <row r="26" spans="1:16" x14ac:dyDescent="0.25">
      <c r="A26" s="3" t="s">
        <v>64</v>
      </c>
      <c r="B26" s="132">
        <v>0</v>
      </c>
      <c r="C26" s="24">
        <v>0</v>
      </c>
      <c r="D26" s="24">
        <v>0</v>
      </c>
      <c r="E26" s="132">
        <v>0</v>
      </c>
      <c r="F26" s="24">
        <v>0</v>
      </c>
      <c r="G26" s="24">
        <v>0</v>
      </c>
      <c r="H26" s="132">
        <v>0</v>
      </c>
      <c r="I26" s="24">
        <v>0</v>
      </c>
      <c r="J26" s="24">
        <v>0</v>
      </c>
      <c r="K26" s="132">
        <v>0</v>
      </c>
      <c r="L26" s="24">
        <v>0</v>
      </c>
      <c r="M26" s="24">
        <v>0</v>
      </c>
      <c r="N26" s="78">
        <f t="shared" si="6"/>
        <v>0</v>
      </c>
      <c r="O26" s="79">
        <f t="shared" si="7"/>
        <v>0</v>
      </c>
      <c r="P26" s="90">
        <f t="shared" si="8"/>
        <v>0</v>
      </c>
    </row>
    <row r="27" spans="1:16" x14ac:dyDescent="0.25">
      <c r="A27" s="3" t="s">
        <v>65</v>
      </c>
      <c r="B27" s="132">
        <v>0</v>
      </c>
      <c r="C27" s="24">
        <v>0</v>
      </c>
      <c r="D27" s="24">
        <v>0</v>
      </c>
      <c r="E27" s="132">
        <v>0</v>
      </c>
      <c r="F27" s="24">
        <v>0</v>
      </c>
      <c r="G27" s="24">
        <v>0</v>
      </c>
      <c r="H27" s="132">
        <v>0</v>
      </c>
      <c r="I27" s="24">
        <v>0</v>
      </c>
      <c r="J27" s="24">
        <v>0</v>
      </c>
      <c r="K27" s="132">
        <v>0</v>
      </c>
      <c r="L27" s="24">
        <v>0</v>
      </c>
      <c r="M27" s="24">
        <v>0</v>
      </c>
      <c r="N27" s="78">
        <f t="shared" si="6"/>
        <v>0</v>
      </c>
      <c r="O27" s="79">
        <f t="shared" si="7"/>
        <v>0</v>
      </c>
      <c r="P27" s="90">
        <f t="shared" si="8"/>
        <v>0</v>
      </c>
    </row>
    <row r="28" spans="1:16" x14ac:dyDescent="0.25">
      <c r="A28" s="3" t="s">
        <v>66</v>
      </c>
      <c r="B28" s="132">
        <v>0</v>
      </c>
      <c r="C28" s="24">
        <v>0</v>
      </c>
      <c r="D28" s="24">
        <v>0</v>
      </c>
      <c r="E28" s="132">
        <v>0</v>
      </c>
      <c r="F28" s="24">
        <v>0</v>
      </c>
      <c r="G28" s="24">
        <v>0</v>
      </c>
      <c r="H28" s="132">
        <v>0</v>
      </c>
      <c r="I28" s="24">
        <v>0</v>
      </c>
      <c r="J28" s="24">
        <v>0</v>
      </c>
      <c r="K28" s="132">
        <v>0</v>
      </c>
      <c r="L28" s="24">
        <v>0</v>
      </c>
      <c r="M28" s="24">
        <v>0</v>
      </c>
      <c r="N28" s="78">
        <f t="shared" si="6"/>
        <v>0</v>
      </c>
      <c r="O28" s="79">
        <f t="shared" si="7"/>
        <v>0</v>
      </c>
      <c r="P28" s="90">
        <f t="shared" si="8"/>
        <v>0</v>
      </c>
    </row>
    <row r="29" spans="1:16" x14ac:dyDescent="0.25">
      <c r="A29" s="3" t="s">
        <v>67</v>
      </c>
      <c r="B29" s="132">
        <v>46.8</v>
      </c>
      <c r="C29" s="24">
        <v>46.8</v>
      </c>
      <c r="D29" s="24">
        <v>46.8</v>
      </c>
      <c r="E29" s="132">
        <v>0</v>
      </c>
      <c r="F29" s="24">
        <v>0</v>
      </c>
      <c r="G29" s="24">
        <v>0</v>
      </c>
      <c r="H29" s="132">
        <v>0</v>
      </c>
      <c r="I29" s="24">
        <v>0</v>
      </c>
      <c r="J29" s="24">
        <v>0</v>
      </c>
      <c r="K29" s="132">
        <v>0</v>
      </c>
      <c r="L29" s="24">
        <v>0</v>
      </c>
      <c r="M29" s="24">
        <v>0</v>
      </c>
      <c r="N29" s="78">
        <f t="shared" si="6"/>
        <v>46.8</v>
      </c>
      <c r="O29" s="79">
        <f t="shared" si="7"/>
        <v>46.8</v>
      </c>
      <c r="P29" s="90">
        <f t="shared" si="8"/>
        <v>46.8</v>
      </c>
    </row>
    <row r="30" spans="1:16" x14ac:dyDescent="0.25">
      <c r="A30" s="4" t="s">
        <v>68</v>
      </c>
      <c r="B30" s="151">
        <v>0</v>
      </c>
      <c r="C30" s="152">
        <v>0</v>
      </c>
      <c r="D30" s="152">
        <v>0</v>
      </c>
      <c r="E30" s="132">
        <v>0</v>
      </c>
      <c r="F30" s="24">
        <v>0</v>
      </c>
      <c r="G30" s="24">
        <v>0</v>
      </c>
      <c r="H30" s="132">
        <v>0</v>
      </c>
      <c r="I30" s="24">
        <v>0</v>
      </c>
      <c r="J30" s="24">
        <v>0</v>
      </c>
      <c r="K30" s="132">
        <v>0</v>
      </c>
      <c r="L30" s="24">
        <v>0</v>
      </c>
      <c r="M30" s="24">
        <v>0</v>
      </c>
      <c r="N30" s="78">
        <f t="shared" si="6"/>
        <v>0</v>
      </c>
      <c r="O30" s="79">
        <f t="shared" si="7"/>
        <v>0</v>
      </c>
      <c r="P30" s="90">
        <f t="shared" si="8"/>
        <v>0</v>
      </c>
    </row>
    <row r="31" spans="1:16" x14ac:dyDescent="0.25">
      <c r="A31" s="4" t="s">
        <v>69</v>
      </c>
      <c r="B31" s="132">
        <v>0</v>
      </c>
      <c r="C31" s="24">
        <v>0</v>
      </c>
      <c r="D31" s="24">
        <v>0</v>
      </c>
      <c r="E31" s="132">
        <v>0</v>
      </c>
      <c r="F31" s="24">
        <v>0</v>
      </c>
      <c r="G31" s="24">
        <v>0</v>
      </c>
      <c r="H31" s="132">
        <v>0</v>
      </c>
      <c r="I31" s="24">
        <v>0</v>
      </c>
      <c r="J31" s="24">
        <v>0</v>
      </c>
      <c r="K31" s="132">
        <v>0</v>
      </c>
      <c r="L31" s="24">
        <v>0</v>
      </c>
      <c r="M31" s="24">
        <v>0</v>
      </c>
      <c r="N31" s="78">
        <f t="shared" si="6"/>
        <v>0</v>
      </c>
      <c r="O31" s="79">
        <f t="shared" si="7"/>
        <v>0</v>
      </c>
      <c r="P31" s="90">
        <f t="shared" si="8"/>
        <v>0</v>
      </c>
    </row>
    <row r="32" spans="1:16" x14ac:dyDescent="0.25">
      <c r="A32" s="3" t="s">
        <v>71</v>
      </c>
      <c r="B32" s="132">
        <v>156</v>
      </c>
      <c r="C32" s="24">
        <v>156</v>
      </c>
      <c r="D32" s="24">
        <v>156</v>
      </c>
      <c r="E32" s="132">
        <v>0</v>
      </c>
      <c r="F32" s="24">
        <v>0</v>
      </c>
      <c r="G32" s="24">
        <v>0</v>
      </c>
      <c r="H32" s="132">
        <v>0</v>
      </c>
      <c r="I32" s="24">
        <v>0</v>
      </c>
      <c r="J32" s="24">
        <v>0</v>
      </c>
      <c r="K32" s="132">
        <v>0</v>
      </c>
      <c r="L32" s="24">
        <v>0</v>
      </c>
      <c r="M32" s="24">
        <v>0</v>
      </c>
      <c r="N32" s="78">
        <f t="shared" si="6"/>
        <v>156</v>
      </c>
      <c r="O32" s="79">
        <f t="shared" si="7"/>
        <v>156</v>
      </c>
      <c r="P32" s="90">
        <f t="shared" si="8"/>
        <v>156</v>
      </c>
    </row>
    <row r="33" spans="1:16" x14ac:dyDescent="0.25">
      <c r="A33" s="3" t="s">
        <v>72</v>
      </c>
      <c r="B33" s="132">
        <v>0</v>
      </c>
      <c r="C33" s="24">
        <v>0</v>
      </c>
      <c r="D33" s="24">
        <v>0</v>
      </c>
      <c r="E33" s="132">
        <v>171.6</v>
      </c>
      <c r="F33" s="24">
        <v>171.6</v>
      </c>
      <c r="G33" s="24">
        <v>171.6</v>
      </c>
      <c r="H33" s="132">
        <v>0</v>
      </c>
      <c r="I33" s="24">
        <v>0</v>
      </c>
      <c r="J33" s="24">
        <v>0</v>
      </c>
      <c r="K33" s="132">
        <v>0</v>
      </c>
      <c r="L33" s="24">
        <v>0</v>
      </c>
      <c r="M33" s="24">
        <v>0</v>
      </c>
      <c r="N33" s="78">
        <f t="shared" si="6"/>
        <v>171.6</v>
      </c>
      <c r="O33" s="79">
        <f t="shared" si="7"/>
        <v>171.6</v>
      </c>
      <c r="P33" s="90">
        <f t="shared" si="8"/>
        <v>171.6</v>
      </c>
    </row>
    <row r="34" spans="1:16" x14ac:dyDescent="0.25">
      <c r="A34" s="3" t="s">
        <v>73</v>
      </c>
      <c r="B34" s="151">
        <v>202.8</v>
      </c>
      <c r="C34" s="152">
        <v>202</v>
      </c>
      <c r="D34" s="152">
        <v>202.8</v>
      </c>
      <c r="E34" s="151">
        <v>0</v>
      </c>
      <c r="F34" s="152">
        <v>0</v>
      </c>
      <c r="G34" s="152">
        <v>0</v>
      </c>
      <c r="H34" s="132">
        <v>0</v>
      </c>
      <c r="I34" s="24">
        <v>0</v>
      </c>
      <c r="J34" s="24">
        <v>0</v>
      </c>
      <c r="K34" s="132">
        <v>0</v>
      </c>
      <c r="L34" s="24">
        <v>0</v>
      </c>
      <c r="M34" s="24">
        <v>0</v>
      </c>
      <c r="N34" s="78">
        <f t="shared" si="6"/>
        <v>202.8</v>
      </c>
      <c r="O34" s="79">
        <f t="shared" si="7"/>
        <v>202</v>
      </c>
      <c r="P34" s="90">
        <f t="shared" si="8"/>
        <v>202.8</v>
      </c>
    </row>
    <row r="35" spans="1:16" x14ac:dyDescent="0.25">
      <c r="A35" s="3" t="s">
        <v>74</v>
      </c>
      <c r="B35" s="151">
        <v>0</v>
      </c>
      <c r="C35" s="152">
        <v>0</v>
      </c>
      <c r="D35" s="152">
        <v>0</v>
      </c>
      <c r="E35" s="132">
        <v>312</v>
      </c>
      <c r="F35" s="24">
        <v>312</v>
      </c>
      <c r="G35" s="24">
        <v>312</v>
      </c>
      <c r="H35" s="132">
        <v>0</v>
      </c>
      <c r="I35" s="24">
        <v>0</v>
      </c>
      <c r="J35" s="24">
        <v>0</v>
      </c>
      <c r="K35" s="132">
        <v>0</v>
      </c>
      <c r="L35" s="24">
        <v>0</v>
      </c>
      <c r="M35" s="24">
        <v>0</v>
      </c>
      <c r="N35" s="78">
        <f t="shared" si="6"/>
        <v>312</v>
      </c>
      <c r="O35" s="79">
        <f t="shared" si="7"/>
        <v>312</v>
      </c>
      <c r="P35" s="90">
        <f t="shared" si="8"/>
        <v>312</v>
      </c>
    </row>
    <row r="36" spans="1:16" x14ac:dyDescent="0.25">
      <c r="A36" s="3" t="s">
        <v>75</v>
      </c>
      <c r="B36" s="132">
        <v>0</v>
      </c>
      <c r="C36" s="24">
        <v>0</v>
      </c>
      <c r="D36" s="24">
        <v>0</v>
      </c>
      <c r="E36" s="132">
        <v>0</v>
      </c>
      <c r="F36" s="24">
        <v>0</v>
      </c>
      <c r="G36" s="24">
        <v>0</v>
      </c>
      <c r="H36" s="132">
        <v>156</v>
      </c>
      <c r="I36" s="24">
        <v>156</v>
      </c>
      <c r="J36" s="24">
        <v>156</v>
      </c>
      <c r="K36" s="132">
        <v>156</v>
      </c>
      <c r="L36" s="24">
        <v>156</v>
      </c>
      <c r="M36" s="24">
        <v>156</v>
      </c>
      <c r="N36" s="78">
        <f t="shared" si="6"/>
        <v>312</v>
      </c>
      <c r="O36" s="79">
        <f t="shared" si="7"/>
        <v>312</v>
      </c>
      <c r="P36" s="90">
        <f t="shared" si="8"/>
        <v>312</v>
      </c>
    </row>
    <row r="37" spans="1:16" x14ac:dyDescent="0.25">
      <c r="A37" s="3" t="s">
        <v>76</v>
      </c>
      <c r="B37" s="132">
        <v>0</v>
      </c>
      <c r="C37" s="24">
        <v>0</v>
      </c>
      <c r="D37" s="24">
        <v>0</v>
      </c>
      <c r="E37" s="132">
        <v>312</v>
      </c>
      <c r="F37" s="24">
        <v>312</v>
      </c>
      <c r="G37" s="24">
        <v>312</v>
      </c>
      <c r="H37" s="132">
        <v>0</v>
      </c>
      <c r="I37" s="24">
        <v>0</v>
      </c>
      <c r="J37" s="24">
        <v>0</v>
      </c>
      <c r="K37" s="132">
        <v>0</v>
      </c>
      <c r="L37" s="24">
        <v>0</v>
      </c>
      <c r="M37" s="24">
        <v>0</v>
      </c>
      <c r="N37" s="78">
        <f t="shared" si="6"/>
        <v>312</v>
      </c>
      <c r="O37" s="79">
        <f t="shared" si="7"/>
        <v>312</v>
      </c>
      <c r="P37" s="90">
        <f t="shared" si="8"/>
        <v>312</v>
      </c>
    </row>
    <row r="38" spans="1:16" x14ac:dyDescent="0.25">
      <c r="A38" s="3" t="s">
        <v>77</v>
      </c>
      <c r="B38" s="132">
        <v>0</v>
      </c>
      <c r="C38" s="24">
        <v>0</v>
      </c>
      <c r="D38" s="24">
        <v>0</v>
      </c>
      <c r="E38" s="132">
        <v>0</v>
      </c>
      <c r="F38" s="24">
        <v>0</v>
      </c>
      <c r="G38" s="24">
        <v>0</v>
      </c>
      <c r="H38" s="132">
        <v>156</v>
      </c>
      <c r="I38" s="24">
        <v>156</v>
      </c>
      <c r="J38" s="24">
        <v>156</v>
      </c>
      <c r="K38" s="132">
        <v>156</v>
      </c>
      <c r="L38" s="24">
        <v>156</v>
      </c>
      <c r="M38" s="24">
        <v>156</v>
      </c>
      <c r="N38" s="78">
        <f t="shared" si="6"/>
        <v>312</v>
      </c>
      <c r="O38" s="79">
        <f t="shared" si="7"/>
        <v>312</v>
      </c>
      <c r="P38" s="90">
        <f t="shared" si="8"/>
        <v>312</v>
      </c>
    </row>
    <row r="39" spans="1:16" x14ac:dyDescent="0.25">
      <c r="A39" s="3" t="s">
        <v>78</v>
      </c>
      <c r="B39" s="151">
        <v>0</v>
      </c>
      <c r="C39" s="152">
        <v>0</v>
      </c>
      <c r="D39" s="152">
        <v>0</v>
      </c>
      <c r="E39" s="132">
        <v>312</v>
      </c>
      <c r="F39" s="24">
        <v>312</v>
      </c>
      <c r="G39" s="24">
        <v>312</v>
      </c>
      <c r="H39" s="132">
        <v>0</v>
      </c>
      <c r="I39" s="24">
        <v>0</v>
      </c>
      <c r="J39" s="24">
        <v>0</v>
      </c>
      <c r="K39" s="132">
        <v>0</v>
      </c>
      <c r="L39" s="24">
        <v>0</v>
      </c>
      <c r="M39" s="24">
        <v>0</v>
      </c>
      <c r="N39" s="78">
        <f t="shared" si="6"/>
        <v>312</v>
      </c>
      <c r="O39" s="79">
        <f t="shared" si="7"/>
        <v>312</v>
      </c>
      <c r="P39" s="90">
        <f t="shared" si="8"/>
        <v>312</v>
      </c>
    </row>
    <row r="40" spans="1:16" x14ac:dyDescent="0.25">
      <c r="A40" s="3" t="s">
        <v>79</v>
      </c>
      <c r="B40" s="132">
        <v>0</v>
      </c>
      <c r="C40" s="24">
        <v>0</v>
      </c>
      <c r="D40" s="24">
        <v>0</v>
      </c>
      <c r="E40" s="132">
        <v>0</v>
      </c>
      <c r="F40" s="24">
        <v>0</v>
      </c>
      <c r="G40" s="24">
        <v>0</v>
      </c>
      <c r="H40" s="132">
        <v>156</v>
      </c>
      <c r="I40" s="24">
        <v>156</v>
      </c>
      <c r="J40" s="24">
        <v>156</v>
      </c>
      <c r="K40" s="132">
        <v>156</v>
      </c>
      <c r="L40" s="24">
        <v>156</v>
      </c>
      <c r="M40" s="24">
        <v>156</v>
      </c>
      <c r="N40" s="78">
        <f t="shared" si="6"/>
        <v>312</v>
      </c>
      <c r="O40" s="79">
        <f t="shared" si="7"/>
        <v>312</v>
      </c>
      <c r="P40" s="90">
        <f t="shared" si="8"/>
        <v>312</v>
      </c>
    </row>
    <row r="41" spans="1:16" x14ac:dyDescent="0.25">
      <c r="A41" s="3" t="s">
        <v>80</v>
      </c>
      <c r="B41" s="132">
        <v>0</v>
      </c>
      <c r="C41" s="24">
        <v>0</v>
      </c>
      <c r="D41" s="24">
        <v>0</v>
      </c>
      <c r="E41" s="151">
        <v>312</v>
      </c>
      <c r="F41" s="152">
        <v>312</v>
      </c>
      <c r="G41" s="152">
        <v>312</v>
      </c>
      <c r="H41" s="132">
        <v>0</v>
      </c>
      <c r="I41" s="24">
        <v>0</v>
      </c>
      <c r="J41" s="24">
        <v>0</v>
      </c>
      <c r="K41" s="132">
        <v>0</v>
      </c>
      <c r="L41" s="24">
        <v>0</v>
      </c>
      <c r="M41" s="24">
        <v>0</v>
      </c>
      <c r="N41" s="78">
        <f t="shared" si="6"/>
        <v>312</v>
      </c>
      <c r="O41" s="79">
        <f t="shared" si="7"/>
        <v>312</v>
      </c>
      <c r="P41" s="90">
        <f t="shared" si="8"/>
        <v>312</v>
      </c>
    </row>
    <row r="42" spans="1:16" x14ac:dyDescent="0.25">
      <c r="A42" s="3" t="s">
        <v>81</v>
      </c>
      <c r="B42" s="132">
        <v>0</v>
      </c>
      <c r="C42" s="24">
        <v>0</v>
      </c>
      <c r="D42" s="24">
        <v>0</v>
      </c>
      <c r="E42" s="151">
        <v>0</v>
      </c>
      <c r="F42" s="152">
        <v>0</v>
      </c>
      <c r="G42" s="152">
        <v>0</v>
      </c>
      <c r="H42" s="151">
        <v>156</v>
      </c>
      <c r="I42" s="152">
        <v>156</v>
      </c>
      <c r="J42" s="152">
        <v>156</v>
      </c>
      <c r="K42" s="132">
        <v>156</v>
      </c>
      <c r="L42" s="24">
        <v>156</v>
      </c>
      <c r="M42" s="24">
        <v>156</v>
      </c>
      <c r="N42" s="78">
        <f t="shared" si="6"/>
        <v>312</v>
      </c>
      <c r="O42" s="79">
        <f t="shared" si="7"/>
        <v>312</v>
      </c>
      <c r="P42" s="90">
        <f t="shared" si="8"/>
        <v>312</v>
      </c>
    </row>
    <row r="43" spans="1:16" x14ac:dyDescent="0.25">
      <c r="A43" s="4" t="s">
        <v>82</v>
      </c>
      <c r="B43" s="132">
        <v>0</v>
      </c>
      <c r="C43" s="24">
        <v>0</v>
      </c>
      <c r="D43" s="24">
        <v>0</v>
      </c>
      <c r="E43" s="151">
        <v>0</v>
      </c>
      <c r="F43" s="152">
        <v>0</v>
      </c>
      <c r="G43" s="152">
        <v>0</v>
      </c>
      <c r="H43" s="151">
        <v>0</v>
      </c>
      <c r="I43" s="152">
        <v>0</v>
      </c>
      <c r="J43" s="152">
        <v>0</v>
      </c>
      <c r="K43" s="132">
        <v>0</v>
      </c>
      <c r="L43" s="24">
        <v>0</v>
      </c>
      <c r="M43" s="24">
        <v>0</v>
      </c>
      <c r="N43" s="78">
        <f t="shared" si="6"/>
        <v>0</v>
      </c>
      <c r="O43" s="79">
        <f t="shared" si="7"/>
        <v>0</v>
      </c>
      <c r="P43" s="90">
        <f t="shared" si="8"/>
        <v>0</v>
      </c>
    </row>
    <row r="44" spans="1:16" x14ac:dyDescent="0.25">
      <c r="A44" s="3" t="s">
        <v>83</v>
      </c>
      <c r="B44" s="132">
        <v>0</v>
      </c>
      <c r="C44" s="24">
        <v>0</v>
      </c>
      <c r="D44" s="24">
        <v>0</v>
      </c>
      <c r="E44" s="151">
        <v>0</v>
      </c>
      <c r="F44" s="152">
        <v>0</v>
      </c>
      <c r="G44" s="152">
        <v>0</v>
      </c>
      <c r="H44" s="151">
        <v>124.8</v>
      </c>
      <c r="I44" s="152">
        <v>124.8</v>
      </c>
      <c r="J44" s="152">
        <v>124.8</v>
      </c>
      <c r="K44" s="132">
        <v>187.2</v>
      </c>
      <c r="L44" s="24">
        <v>187.2</v>
      </c>
      <c r="M44" s="24">
        <v>187.2</v>
      </c>
      <c r="N44" s="78">
        <f t="shared" si="6"/>
        <v>312</v>
      </c>
      <c r="O44" s="79">
        <f t="shared" si="7"/>
        <v>312</v>
      </c>
      <c r="P44" s="90">
        <f t="shared" si="8"/>
        <v>312</v>
      </c>
    </row>
    <row r="45" spans="1:16" x14ac:dyDescent="0.25">
      <c r="A45" s="3" t="s">
        <v>84</v>
      </c>
      <c r="B45" s="132">
        <v>0</v>
      </c>
      <c r="C45" s="24">
        <v>0</v>
      </c>
      <c r="D45" s="24">
        <v>0</v>
      </c>
      <c r="E45" s="151">
        <v>312</v>
      </c>
      <c r="F45" s="152">
        <v>312</v>
      </c>
      <c r="G45" s="152">
        <v>312</v>
      </c>
      <c r="H45" s="151">
        <v>0</v>
      </c>
      <c r="I45" s="152">
        <v>0</v>
      </c>
      <c r="J45" s="152">
        <v>0</v>
      </c>
      <c r="K45" s="132">
        <v>0</v>
      </c>
      <c r="L45" s="24">
        <v>0</v>
      </c>
      <c r="M45" s="24">
        <v>0</v>
      </c>
      <c r="N45" s="78">
        <f t="shared" si="6"/>
        <v>312</v>
      </c>
      <c r="O45" s="79">
        <f t="shared" si="7"/>
        <v>312</v>
      </c>
      <c r="P45" s="90">
        <f t="shared" si="8"/>
        <v>312</v>
      </c>
    </row>
    <row r="46" spans="1:16" x14ac:dyDescent="0.25">
      <c r="A46" s="3" t="s">
        <v>85</v>
      </c>
      <c r="B46" s="132">
        <v>0</v>
      </c>
      <c r="C46" s="24">
        <v>0</v>
      </c>
      <c r="D46" s="24">
        <v>0</v>
      </c>
      <c r="E46" s="151">
        <v>0</v>
      </c>
      <c r="F46" s="152">
        <v>0</v>
      </c>
      <c r="G46" s="152">
        <v>0</v>
      </c>
      <c r="H46" s="151">
        <v>0</v>
      </c>
      <c r="I46" s="152">
        <v>0</v>
      </c>
      <c r="J46" s="152">
        <v>0</v>
      </c>
      <c r="K46" s="151">
        <v>312</v>
      </c>
      <c r="L46" s="152">
        <v>312</v>
      </c>
      <c r="M46" s="152">
        <v>312</v>
      </c>
      <c r="N46" s="78">
        <f t="shared" si="6"/>
        <v>312</v>
      </c>
      <c r="O46" s="79">
        <f t="shared" si="7"/>
        <v>312</v>
      </c>
      <c r="P46" s="90">
        <f t="shared" si="8"/>
        <v>312</v>
      </c>
    </row>
    <row r="47" spans="1:16" x14ac:dyDescent="0.25">
      <c r="A47" s="3" t="s">
        <v>86</v>
      </c>
      <c r="B47" s="132">
        <v>0</v>
      </c>
      <c r="C47" s="24">
        <v>0</v>
      </c>
      <c r="D47" s="24">
        <v>0</v>
      </c>
      <c r="E47" s="151">
        <v>234</v>
      </c>
      <c r="F47" s="152">
        <v>234</v>
      </c>
      <c r="G47" s="152">
        <v>234</v>
      </c>
      <c r="H47" s="151">
        <v>78</v>
      </c>
      <c r="I47" s="152">
        <v>78</v>
      </c>
      <c r="J47" s="152">
        <v>78</v>
      </c>
      <c r="K47" s="151">
        <v>0</v>
      </c>
      <c r="L47" s="152">
        <v>0</v>
      </c>
      <c r="M47" s="152">
        <v>0</v>
      </c>
      <c r="N47" s="78">
        <f t="shared" si="6"/>
        <v>312</v>
      </c>
      <c r="O47" s="79">
        <f t="shared" si="7"/>
        <v>312</v>
      </c>
      <c r="P47" s="90">
        <f t="shared" si="8"/>
        <v>312</v>
      </c>
    </row>
    <row r="48" spans="1:16" x14ac:dyDescent="0.25">
      <c r="A48" s="3" t="s">
        <v>87</v>
      </c>
      <c r="B48" s="132">
        <v>0</v>
      </c>
      <c r="C48" s="24">
        <v>0</v>
      </c>
      <c r="D48" s="24">
        <v>0</v>
      </c>
      <c r="E48" s="132">
        <v>0</v>
      </c>
      <c r="F48" s="24">
        <v>0</v>
      </c>
      <c r="G48" s="24">
        <v>0</v>
      </c>
      <c r="H48" s="151">
        <v>109.2</v>
      </c>
      <c r="I48" s="152">
        <v>109.2</v>
      </c>
      <c r="J48" s="152">
        <v>109.2</v>
      </c>
      <c r="K48" s="151">
        <v>202.8</v>
      </c>
      <c r="L48" s="152">
        <v>202.8</v>
      </c>
      <c r="M48" s="152">
        <v>202.8</v>
      </c>
      <c r="N48" s="78">
        <f t="shared" si="6"/>
        <v>312</v>
      </c>
      <c r="O48" s="79">
        <f t="shared" si="7"/>
        <v>312</v>
      </c>
      <c r="P48" s="90">
        <f t="shared" si="8"/>
        <v>312</v>
      </c>
    </row>
    <row r="49" spans="1:16" x14ac:dyDescent="0.25">
      <c r="A49" s="3" t="s">
        <v>88</v>
      </c>
      <c r="B49" s="132">
        <v>0</v>
      </c>
      <c r="C49" s="24">
        <v>0</v>
      </c>
      <c r="D49" s="24">
        <v>0</v>
      </c>
      <c r="E49" s="132">
        <v>0</v>
      </c>
      <c r="F49" s="24">
        <v>0</v>
      </c>
      <c r="G49" s="24">
        <v>0</v>
      </c>
      <c r="H49" s="151">
        <v>0</v>
      </c>
      <c r="I49" s="152">
        <v>0</v>
      </c>
      <c r="J49" s="152">
        <v>0</v>
      </c>
      <c r="K49" s="151">
        <v>296.39999999999998</v>
      </c>
      <c r="L49" s="152">
        <v>296.39999999999998</v>
      </c>
      <c r="M49" s="152">
        <v>296.39999999999998</v>
      </c>
      <c r="N49" s="78">
        <f t="shared" si="6"/>
        <v>296.39999999999998</v>
      </c>
      <c r="O49" s="79">
        <f t="shared" si="7"/>
        <v>296.39999999999998</v>
      </c>
      <c r="P49" s="90">
        <f t="shared" si="8"/>
        <v>296.39999999999998</v>
      </c>
    </row>
    <row r="50" spans="1:16" x14ac:dyDescent="0.25">
      <c r="A50" s="3" t="s">
        <v>89</v>
      </c>
      <c r="B50" s="132">
        <v>0</v>
      </c>
      <c r="C50" s="24">
        <v>0</v>
      </c>
      <c r="D50" s="24">
        <v>0</v>
      </c>
      <c r="E50" s="132">
        <v>0</v>
      </c>
      <c r="F50" s="24">
        <v>0</v>
      </c>
      <c r="G50" s="24">
        <v>0</v>
      </c>
      <c r="H50" s="132">
        <v>0</v>
      </c>
      <c r="I50" s="24">
        <v>0</v>
      </c>
      <c r="J50" s="24">
        <v>0</v>
      </c>
      <c r="K50" s="132">
        <v>0</v>
      </c>
      <c r="L50" s="24">
        <v>0</v>
      </c>
      <c r="M50" s="24">
        <v>0</v>
      </c>
      <c r="N50" s="78">
        <f t="shared" si="6"/>
        <v>0</v>
      </c>
      <c r="O50" s="79">
        <f t="shared" si="7"/>
        <v>0</v>
      </c>
      <c r="P50" s="90">
        <f t="shared" si="8"/>
        <v>0</v>
      </c>
    </row>
    <row r="51" spans="1:16" x14ac:dyDescent="0.25">
      <c r="A51" s="3" t="s">
        <v>90</v>
      </c>
      <c r="B51" s="132">
        <v>0</v>
      </c>
      <c r="C51" s="24">
        <v>0</v>
      </c>
      <c r="D51" s="24">
        <v>0</v>
      </c>
      <c r="E51" s="132">
        <v>0</v>
      </c>
      <c r="F51" s="24">
        <v>0</v>
      </c>
      <c r="G51" s="24">
        <v>0</v>
      </c>
      <c r="H51" s="132">
        <v>0</v>
      </c>
      <c r="I51" s="24">
        <v>0</v>
      </c>
      <c r="J51" s="24">
        <v>0</v>
      </c>
      <c r="K51" s="132">
        <v>0</v>
      </c>
      <c r="L51" s="24">
        <v>0</v>
      </c>
      <c r="M51" s="24">
        <v>0</v>
      </c>
      <c r="N51" s="78">
        <f t="shared" si="6"/>
        <v>0</v>
      </c>
      <c r="O51" s="79">
        <f t="shared" si="7"/>
        <v>0</v>
      </c>
      <c r="P51" s="90">
        <f t="shared" si="8"/>
        <v>0</v>
      </c>
    </row>
    <row r="52" spans="1:16" x14ac:dyDescent="0.25">
      <c r="A52" s="3" t="s">
        <v>91</v>
      </c>
      <c r="B52" s="132">
        <v>0</v>
      </c>
      <c r="C52" s="24">
        <v>0</v>
      </c>
      <c r="D52" s="24">
        <v>0</v>
      </c>
      <c r="E52" s="132">
        <v>0</v>
      </c>
      <c r="F52" s="24">
        <v>0</v>
      </c>
      <c r="G52" s="24">
        <v>0</v>
      </c>
      <c r="H52" s="132">
        <v>0</v>
      </c>
      <c r="I52" s="24">
        <v>0</v>
      </c>
      <c r="J52" s="24">
        <v>0</v>
      </c>
      <c r="K52" s="132">
        <v>0</v>
      </c>
      <c r="L52" s="24">
        <v>0</v>
      </c>
      <c r="M52" s="24">
        <v>0</v>
      </c>
      <c r="N52" s="78">
        <f t="shared" si="6"/>
        <v>0</v>
      </c>
      <c r="O52" s="79">
        <f t="shared" si="7"/>
        <v>0</v>
      </c>
      <c r="P52" s="90">
        <f t="shared" si="8"/>
        <v>0</v>
      </c>
    </row>
    <row r="53" spans="1:16" x14ac:dyDescent="0.25">
      <c r="A53" s="3" t="s">
        <v>92</v>
      </c>
      <c r="B53" s="132">
        <v>0</v>
      </c>
      <c r="C53" s="24">
        <v>0</v>
      </c>
      <c r="D53" s="24">
        <v>0</v>
      </c>
      <c r="E53" s="132">
        <v>0</v>
      </c>
      <c r="F53" s="24">
        <v>0</v>
      </c>
      <c r="G53" s="24">
        <v>0</v>
      </c>
      <c r="H53" s="132">
        <v>0</v>
      </c>
      <c r="I53" s="24">
        <v>0</v>
      </c>
      <c r="J53" s="24">
        <v>0</v>
      </c>
      <c r="K53" s="132">
        <v>0</v>
      </c>
      <c r="L53" s="24">
        <v>0</v>
      </c>
      <c r="M53" s="24">
        <v>0</v>
      </c>
      <c r="N53" s="78">
        <f t="shared" si="6"/>
        <v>0</v>
      </c>
      <c r="O53" s="79">
        <f t="shared" si="7"/>
        <v>0</v>
      </c>
      <c r="P53" s="90">
        <f t="shared" si="8"/>
        <v>0</v>
      </c>
    </row>
    <row r="54" spans="1:16" x14ac:dyDescent="0.25">
      <c r="A54" s="3" t="s">
        <v>93</v>
      </c>
      <c r="B54" s="132">
        <v>0</v>
      </c>
      <c r="C54" s="24">
        <v>0</v>
      </c>
      <c r="D54" s="24">
        <v>0</v>
      </c>
      <c r="E54" s="132">
        <v>0</v>
      </c>
      <c r="F54" s="24">
        <v>0</v>
      </c>
      <c r="G54" s="24">
        <v>0</v>
      </c>
      <c r="H54" s="132">
        <v>0</v>
      </c>
      <c r="I54" s="24">
        <v>0</v>
      </c>
      <c r="J54" s="24">
        <v>0</v>
      </c>
      <c r="K54" s="132">
        <v>0</v>
      </c>
      <c r="L54" s="24">
        <v>0</v>
      </c>
      <c r="M54" s="24">
        <v>0</v>
      </c>
      <c r="N54" s="78">
        <f t="shared" si="6"/>
        <v>0</v>
      </c>
      <c r="O54" s="79">
        <f t="shared" si="7"/>
        <v>0</v>
      </c>
      <c r="P54" s="90">
        <f t="shared" si="8"/>
        <v>0</v>
      </c>
    </row>
    <row r="55" spans="1:16" x14ac:dyDescent="0.25">
      <c r="A55" s="3" t="s">
        <v>94</v>
      </c>
      <c r="B55" s="132">
        <v>0</v>
      </c>
      <c r="C55" s="24">
        <v>0</v>
      </c>
      <c r="D55" s="24">
        <v>0</v>
      </c>
      <c r="E55" s="132">
        <v>0</v>
      </c>
      <c r="F55" s="24">
        <v>0</v>
      </c>
      <c r="G55" s="24">
        <v>0</v>
      </c>
      <c r="H55" s="132">
        <v>0</v>
      </c>
      <c r="I55" s="24">
        <v>0</v>
      </c>
      <c r="J55" s="24">
        <v>0</v>
      </c>
      <c r="K55" s="132">
        <v>0</v>
      </c>
      <c r="L55" s="24">
        <v>0</v>
      </c>
      <c r="M55" s="24">
        <v>0</v>
      </c>
      <c r="N55" s="78">
        <f t="shared" si="6"/>
        <v>0</v>
      </c>
      <c r="O55" s="79">
        <f t="shared" si="7"/>
        <v>0</v>
      </c>
      <c r="P55" s="90">
        <f t="shared" si="8"/>
        <v>0</v>
      </c>
    </row>
    <row r="56" spans="1:16" x14ac:dyDescent="0.25">
      <c r="A56" s="3" t="s">
        <v>95</v>
      </c>
      <c r="B56" s="132">
        <v>0</v>
      </c>
      <c r="C56" s="24">
        <v>0</v>
      </c>
      <c r="D56" s="24">
        <v>0</v>
      </c>
      <c r="E56" s="132">
        <v>0</v>
      </c>
      <c r="F56" s="24">
        <v>0</v>
      </c>
      <c r="G56" s="24">
        <v>0</v>
      </c>
      <c r="H56" s="132">
        <v>0</v>
      </c>
      <c r="I56" s="24">
        <v>0</v>
      </c>
      <c r="J56" s="24">
        <v>0</v>
      </c>
      <c r="K56" s="132">
        <v>0</v>
      </c>
      <c r="L56" s="24">
        <v>0</v>
      </c>
      <c r="M56" s="24">
        <v>0</v>
      </c>
      <c r="N56" s="78">
        <f t="shared" si="6"/>
        <v>0</v>
      </c>
      <c r="O56" s="79">
        <f t="shared" si="7"/>
        <v>0</v>
      </c>
      <c r="P56" s="90">
        <f t="shared" si="8"/>
        <v>0</v>
      </c>
    </row>
    <row r="57" spans="1:16" x14ac:dyDescent="0.25">
      <c r="A57" s="3" t="s">
        <v>96</v>
      </c>
      <c r="B57" s="132">
        <v>0</v>
      </c>
      <c r="C57" s="24">
        <v>0</v>
      </c>
      <c r="D57" s="24">
        <v>0</v>
      </c>
      <c r="E57" s="132">
        <v>0</v>
      </c>
      <c r="F57" s="24">
        <v>0</v>
      </c>
      <c r="G57" s="24">
        <v>0</v>
      </c>
      <c r="H57" s="132">
        <v>0</v>
      </c>
      <c r="I57" s="24">
        <v>0</v>
      </c>
      <c r="J57" s="24">
        <v>0</v>
      </c>
      <c r="K57" s="132">
        <v>0</v>
      </c>
      <c r="L57" s="24">
        <v>0</v>
      </c>
      <c r="M57" s="24">
        <v>0</v>
      </c>
      <c r="N57" s="78">
        <f t="shared" si="6"/>
        <v>0</v>
      </c>
      <c r="O57" s="79">
        <f t="shared" si="7"/>
        <v>0</v>
      </c>
      <c r="P57" s="90">
        <f t="shared" si="8"/>
        <v>0</v>
      </c>
    </row>
    <row r="58" spans="1:16" x14ac:dyDescent="0.25">
      <c r="A58" s="3" t="s">
        <v>97</v>
      </c>
      <c r="B58" s="132">
        <v>0</v>
      </c>
      <c r="C58" s="24">
        <v>0</v>
      </c>
      <c r="D58" s="24">
        <v>0</v>
      </c>
      <c r="E58" s="132">
        <v>0</v>
      </c>
      <c r="F58" s="24">
        <v>0</v>
      </c>
      <c r="G58" s="24">
        <v>0</v>
      </c>
      <c r="H58" s="132">
        <v>0</v>
      </c>
      <c r="I58" s="24">
        <v>0</v>
      </c>
      <c r="J58" s="24">
        <v>0</v>
      </c>
      <c r="K58" s="132">
        <v>0</v>
      </c>
      <c r="L58" s="24">
        <v>0</v>
      </c>
      <c r="M58" s="24">
        <v>0</v>
      </c>
      <c r="N58" s="78">
        <f t="shared" si="6"/>
        <v>0</v>
      </c>
      <c r="O58" s="79">
        <f t="shared" si="7"/>
        <v>0</v>
      </c>
      <c r="P58" s="90">
        <f t="shared" si="8"/>
        <v>0</v>
      </c>
    </row>
    <row r="59" spans="1:16" x14ac:dyDescent="0.25">
      <c r="A59" s="3" t="s">
        <v>98</v>
      </c>
      <c r="B59" s="132">
        <v>0</v>
      </c>
      <c r="C59" s="24">
        <v>0</v>
      </c>
      <c r="D59" s="24">
        <v>0</v>
      </c>
      <c r="E59" s="132">
        <v>0</v>
      </c>
      <c r="F59" s="24">
        <v>0</v>
      </c>
      <c r="G59" s="24">
        <v>0</v>
      </c>
      <c r="H59" s="132">
        <v>0</v>
      </c>
      <c r="I59" s="24">
        <v>0</v>
      </c>
      <c r="J59" s="24">
        <v>0</v>
      </c>
      <c r="K59" s="132">
        <v>0</v>
      </c>
      <c r="L59" s="24">
        <v>0</v>
      </c>
      <c r="M59" s="24">
        <v>0</v>
      </c>
      <c r="N59" s="78">
        <f t="shared" si="6"/>
        <v>0</v>
      </c>
      <c r="O59" s="79">
        <f t="shared" si="7"/>
        <v>0</v>
      </c>
      <c r="P59" s="90">
        <f t="shared" si="8"/>
        <v>0</v>
      </c>
    </row>
    <row r="60" spans="1:16" x14ac:dyDescent="0.25">
      <c r="A60" s="3" t="s">
        <v>99</v>
      </c>
      <c r="B60" s="132">
        <v>0</v>
      </c>
      <c r="C60" s="24">
        <v>0</v>
      </c>
      <c r="D60" s="24">
        <v>0</v>
      </c>
      <c r="E60" s="132">
        <v>0</v>
      </c>
      <c r="F60" s="24">
        <v>0</v>
      </c>
      <c r="G60" s="24">
        <v>0</v>
      </c>
      <c r="H60" s="132">
        <v>0</v>
      </c>
      <c r="I60" s="24">
        <v>0</v>
      </c>
      <c r="J60" s="24">
        <v>0</v>
      </c>
      <c r="K60" s="132">
        <v>0</v>
      </c>
      <c r="L60" s="24">
        <v>0</v>
      </c>
      <c r="M60" s="24">
        <v>0</v>
      </c>
      <c r="N60" s="78">
        <f t="shared" si="6"/>
        <v>0</v>
      </c>
      <c r="O60" s="79">
        <f t="shared" si="7"/>
        <v>0</v>
      </c>
      <c r="P60" s="90">
        <f t="shared" si="8"/>
        <v>0</v>
      </c>
    </row>
    <row r="61" spans="1:16" x14ac:dyDescent="0.25">
      <c r="A61" s="3" t="s">
        <v>100</v>
      </c>
      <c r="B61" s="132">
        <v>0</v>
      </c>
      <c r="C61" s="24">
        <v>0</v>
      </c>
      <c r="D61" s="24">
        <v>0</v>
      </c>
      <c r="E61" s="132">
        <v>0</v>
      </c>
      <c r="F61" s="24">
        <v>0</v>
      </c>
      <c r="G61" s="24">
        <v>0</v>
      </c>
      <c r="H61" s="132">
        <v>0</v>
      </c>
      <c r="I61" s="24">
        <v>0</v>
      </c>
      <c r="J61" s="24">
        <v>0</v>
      </c>
      <c r="K61" s="132">
        <v>0</v>
      </c>
      <c r="L61" s="24">
        <v>0</v>
      </c>
      <c r="M61" s="24">
        <v>0</v>
      </c>
      <c r="N61" s="78">
        <f t="shared" si="6"/>
        <v>0</v>
      </c>
      <c r="O61" s="79">
        <f t="shared" si="7"/>
        <v>0</v>
      </c>
      <c r="P61" s="90">
        <f t="shared" si="8"/>
        <v>0</v>
      </c>
    </row>
    <row r="62" spans="1:16" x14ac:dyDescent="0.25">
      <c r="A62" s="3" t="s">
        <v>101</v>
      </c>
      <c r="B62" s="132">
        <v>0</v>
      </c>
      <c r="C62" s="24">
        <v>0</v>
      </c>
      <c r="D62" s="24">
        <v>0</v>
      </c>
      <c r="E62" s="132">
        <v>0</v>
      </c>
      <c r="F62" s="24">
        <v>0</v>
      </c>
      <c r="G62" s="24">
        <v>0</v>
      </c>
      <c r="H62" s="132">
        <v>0</v>
      </c>
      <c r="I62" s="24">
        <v>0</v>
      </c>
      <c r="J62" s="24">
        <v>0</v>
      </c>
      <c r="K62" s="132">
        <v>0</v>
      </c>
      <c r="L62" s="24">
        <v>0</v>
      </c>
      <c r="M62" s="24">
        <v>0</v>
      </c>
      <c r="N62" s="78">
        <f t="shared" si="6"/>
        <v>0</v>
      </c>
      <c r="O62" s="79">
        <f t="shared" si="7"/>
        <v>0</v>
      </c>
      <c r="P62" s="90">
        <f t="shared" si="8"/>
        <v>0</v>
      </c>
    </row>
    <row r="63" spans="1:16" x14ac:dyDescent="0.25">
      <c r="A63" s="3" t="s">
        <v>102</v>
      </c>
      <c r="B63" s="132">
        <v>0</v>
      </c>
      <c r="C63" s="24">
        <v>0</v>
      </c>
      <c r="D63" s="24">
        <v>0</v>
      </c>
      <c r="E63" s="132">
        <v>0</v>
      </c>
      <c r="F63" s="24">
        <v>0</v>
      </c>
      <c r="G63" s="24">
        <v>0</v>
      </c>
      <c r="H63" s="132">
        <v>0</v>
      </c>
      <c r="I63" s="24">
        <v>0</v>
      </c>
      <c r="J63" s="24">
        <v>0</v>
      </c>
      <c r="K63" s="132">
        <v>0</v>
      </c>
      <c r="L63" s="24">
        <v>0</v>
      </c>
      <c r="M63" s="24">
        <v>0</v>
      </c>
      <c r="N63" s="78">
        <f t="shared" si="6"/>
        <v>0</v>
      </c>
      <c r="O63" s="79">
        <f t="shared" si="7"/>
        <v>0</v>
      </c>
      <c r="P63" s="90">
        <f t="shared" si="8"/>
        <v>0</v>
      </c>
    </row>
    <row r="64" spans="1:16" x14ac:dyDescent="0.25">
      <c r="A64" s="3" t="s">
        <v>103</v>
      </c>
      <c r="B64" s="132">
        <v>0</v>
      </c>
      <c r="C64" s="24">
        <v>0</v>
      </c>
      <c r="D64" s="24">
        <v>0</v>
      </c>
      <c r="E64" s="132">
        <v>0</v>
      </c>
      <c r="F64" s="24">
        <v>0</v>
      </c>
      <c r="G64" s="24">
        <v>0</v>
      </c>
      <c r="H64" s="132">
        <v>0</v>
      </c>
      <c r="I64" s="24">
        <v>0</v>
      </c>
      <c r="J64" s="24">
        <v>0</v>
      </c>
      <c r="K64" s="132">
        <v>0</v>
      </c>
      <c r="L64" s="24">
        <v>0</v>
      </c>
      <c r="M64" s="24">
        <v>0</v>
      </c>
      <c r="N64" s="78">
        <f t="shared" si="6"/>
        <v>0</v>
      </c>
      <c r="O64" s="79">
        <f t="shared" si="7"/>
        <v>0</v>
      </c>
      <c r="P64" s="90">
        <f t="shared" si="8"/>
        <v>0</v>
      </c>
    </row>
    <row r="65" spans="1:16" x14ac:dyDescent="0.25">
      <c r="A65" s="3" t="s">
        <v>104</v>
      </c>
      <c r="B65" s="132">
        <v>0</v>
      </c>
      <c r="C65" s="24">
        <v>0</v>
      </c>
      <c r="D65" s="24">
        <v>0</v>
      </c>
      <c r="E65" s="132">
        <v>0</v>
      </c>
      <c r="F65" s="24">
        <v>0</v>
      </c>
      <c r="G65" s="24">
        <v>0</v>
      </c>
      <c r="H65" s="132">
        <v>0</v>
      </c>
      <c r="I65" s="24">
        <v>0</v>
      </c>
      <c r="J65" s="24">
        <v>0</v>
      </c>
      <c r="K65" s="132">
        <v>0</v>
      </c>
      <c r="L65" s="24">
        <v>0</v>
      </c>
      <c r="M65" s="24">
        <v>0</v>
      </c>
      <c r="N65" s="78">
        <f t="shared" si="6"/>
        <v>0</v>
      </c>
      <c r="O65" s="79">
        <f t="shared" si="7"/>
        <v>0</v>
      </c>
      <c r="P65" s="90">
        <f t="shared" si="8"/>
        <v>0</v>
      </c>
    </row>
    <row r="66" spans="1:16" x14ac:dyDescent="0.25">
      <c r="A66" s="3" t="s">
        <v>105</v>
      </c>
      <c r="B66" s="132">
        <v>0</v>
      </c>
      <c r="C66" s="24">
        <v>0</v>
      </c>
      <c r="D66" s="24">
        <v>0</v>
      </c>
      <c r="E66" s="132">
        <v>0</v>
      </c>
      <c r="F66" s="24">
        <v>0</v>
      </c>
      <c r="G66" s="24">
        <v>0</v>
      </c>
      <c r="H66" s="132">
        <v>0</v>
      </c>
      <c r="I66" s="24">
        <v>0</v>
      </c>
      <c r="J66" s="24">
        <v>0</v>
      </c>
      <c r="K66" s="132">
        <v>0</v>
      </c>
      <c r="L66" s="24">
        <v>0</v>
      </c>
      <c r="M66" s="24">
        <v>0</v>
      </c>
      <c r="N66" s="78">
        <f t="shared" si="6"/>
        <v>0</v>
      </c>
      <c r="O66" s="79">
        <f t="shared" si="7"/>
        <v>0</v>
      </c>
      <c r="P66" s="90">
        <f t="shared" si="8"/>
        <v>0</v>
      </c>
    </row>
    <row r="67" spans="1:16" x14ac:dyDescent="0.25">
      <c r="A67" s="3" t="s">
        <v>106</v>
      </c>
      <c r="B67" s="132">
        <v>0</v>
      </c>
      <c r="C67" s="24">
        <v>0</v>
      </c>
      <c r="D67" s="24">
        <v>0</v>
      </c>
      <c r="E67" s="132">
        <v>0</v>
      </c>
      <c r="F67" s="24">
        <v>0</v>
      </c>
      <c r="G67" s="24">
        <v>0</v>
      </c>
      <c r="H67" s="132">
        <v>0</v>
      </c>
      <c r="I67" s="24">
        <v>0</v>
      </c>
      <c r="J67" s="24">
        <v>0</v>
      </c>
      <c r="K67" s="132">
        <v>0</v>
      </c>
      <c r="L67" s="24">
        <v>0</v>
      </c>
      <c r="M67" s="24">
        <v>0</v>
      </c>
      <c r="N67" s="78">
        <f t="shared" si="6"/>
        <v>0</v>
      </c>
      <c r="O67" s="79">
        <f t="shared" si="7"/>
        <v>0</v>
      </c>
      <c r="P67" s="90">
        <f t="shared" si="8"/>
        <v>0</v>
      </c>
    </row>
    <row r="68" spans="1:16" x14ac:dyDescent="0.25">
      <c r="A68" s="3" t="s">
        <v>107</v>
      </c>
      <c r="B68" s="132">
        <v>0</v>
      </c>
      <c r="C68" s="24">
        <v>0</v>
      </c>
      <c r="D68" s="24">
        <v>0</v>
      </c>
      <c r="E68" s="132">
        <v>0</v>
      </c>
      <c r="F68" s="24">
        <v>0</v>
      </c>
      <c r="G68" s="24">
        <v>0</v>
      </c>
      <c r="H68" s="132">
        <v>0</v>
      </c>
      <c r="I68" s="24">
        <v>0</v>
      </c>
      <c r="J68" s="24">
        <v>0</v>
      </c>
      <c r="K68" s="132">
        <v>0</v>
      </c>
      <c r="L68" s="24">
        <v>0</v>
      </c>
      <c r="M68" s="24">
        <v>0</v>
      </c>
      <c r="N68" s="78">
        <f t="shared" si="6"/>
        <v>0</v>
      </c>
      <c r="O68" s="79">
        <f t="shared" si="7"/>
        <v>0</v>
      </c>
      <c r="P68" s="90">
        <f t="shared" si="8"/>
        <v>0</v>
      </c>
    </row>
    <row r="69" spans="1:16" x14ac:dyDescent="0.25">
      <c r="A69" s="3" t="s">
        <v>108</v>
      </c>
      <c r="B69" s="132">
        <v>0</v>
      </c>
      <c r="C69" s="24">
        <v>0</v>
      </c>
      <c r="D69" s="24">
        <v>0</v>
      </c>
      <c r="E69" s="132">
        <v>0</v>
      </c>
      <c r="F69" s="24">
        <v>0</v>
      </c>
      <c r="G69" s="24">
        <v>0</v>
      </c>
      <c r="H69" s="132">
        <v>0</v>
      </c>
      <c r="I69" s="24">
        <v>0</v>
      </c>
      <c r="J69" s="24">
        <v>0</v>
      </c>
      <c r="K69" s="132">
        <v>0</v>
      </c>
      <c r="L69" s="24">
        <v>0</v>
      </c>
      <c r="M69" s="24">
        <v>0</v>
      </c>
      <c r="N69" s="78">
        <f t="shared" si="6"/>
        <v>0</v>
      </c>
      <c r="O69" s="79">
        <f t="shared" si="7"/>
        <v>0</v>
      </c>
      <c r="P69" s="90">
        <f t="shared" si="8"/>
        <v>0</v>
      </c>
    </row>
    <row r="70" spans="1:16" x14ac:dyDescent="0.25">
      <c r="A70" s="3" t="s">
        <v>109</v>
      </c>
      <c r="B70" s="132">
        <v>0</v>
      </c>
      <c r="C70" s="24">
        <v>0</v>
      </c>
      <c r="D70" s="24">
        <v>0</v>
      </c>
      <c r="E70" s="132">
        <v>0</v>
      </c>
      <c r="F70" s="24">
        <v>0</v>
      </c>
      <c r="G70" s="24">
        <v>0</v>
      </c>
      <c r="H70" s="132">
        <v>0</v>
      </c>
      <c r="I70" s="24">
        <v>0</v>
      </c>
      <c r="J70" s="24">
        <v>0</v>
      </c>
      <c r="K70" s="132">
        <v>0</v>
      </c>
      <c r="L70" s="24">
        <v>0</v>
      </c>
      <c r="M70" s="24">
        <v>0</v>
      </c>
      <c r="N70" s="78">
        <f t="shared" si="6"/>
        <v>0</v>
      </c>
      <c r="O70" s="79">
        <f t="shared" si="7"/>
        <v>0</v>
      </c>
      <c r="P70" s="90">
        <f t="shared" si="8"/>
        <v>0</v>
      </c>
    </row>
    <row r="71" spans="1:16" x14ac:dyDescent="0.25">
      <c r="A71" s="3" t="s">
        <v>110</v>
      </c>
      <c r="B71" s="132">
        <v>0</v>
      </c>
      <c r="C71" s="24">
        <v>0</v>
      </c>
      <c r="D71" s="24">
        <v>0</v>
      </c>
      <c r="E71" s="132">
        <v>0</v>
      </c>
      <c r="F71" s="24">
        <v>0</v>
      </c>
      <c r="G71" s="24">
        <v>0</v>
      </c>
      <c r="H71" s="132">
        <v>0</v>
      </c>
      <c r="I71" s="24">
        <v>0</v>
      </c>
      <c r="J71" s="24">
        <v>0</v>
      </c>
      <c r="K71" s="132">
        <v>0</v>
      </c>
      <c r="L71" s="24">
        <v>0</v>
      </c>
      <c r="M71" s="24">
        <v>0</v>
      </c>
      <c r="N71" s="78">
        <f t="shared" si="6"/>
        <v>0</v>
      </c>
      <c r="O71" s="79">
        <f t="shared" si="7"/>
        <v>0</v>
      </c>
      <c r="P71" s="90">
        <f t="shared" si="8"/>
        <v>0</v>
      </c>
    </row>
    <row r="72" spans="1:16" x14ac:dyDescent="0.25">
      <c r="A72" s="3" t="s">
        <v>111</v>
      </c>
      <c r="B72" s="132">
        <v>0</v>
      </c>
      <c r="C72" s="24">
        <v>0</v>
      </c>
      <c r="D72" s="24">
        <v>0</v>
      </c>
      <c r="E72" s="132">
        <v>0</v>
      </c>
      <c r="F72" s="24">
        <v>0</v>
      </c>
      <c r="G72" s="24">
        <v>0</v>
      </c>
      <c r="H72" s="132">
        <v>0</v>
      </c>
      <c r="I72" s="24">
        <v>0</v>
      </c>
      <c r="J72" s="24">
        <v>0</v>
      </c>
      <c r="K72" s="132">
        <v>0</v>
      </c>
      <c r="L72" s="24">
        <v>0</v>
      </c>
      <c r="M72" s="24">
        <v>0</v>
      </c>
      <c r="N72" s="78">
        <f t="shared" si="6"/>
        <v>0</v>
      </c>
      <c r="O72" s="79">
        <f t="shared" si="7"/>
        <v>0</v>
      </c>
      <c r="P72" s="90">
        <f t="shared" si="8"/>
        <v>0</v>
      </c>
    </row>
    <row r="73" spans="1:16" x14ac:dyDescent="0.25">
      <c r="A73" s="3" t="s">
        <v>112</v>
      </c>
      <c r="B73" s="132">
        <v>0</v>
      </c>
      <c r="C73" s="24">
        <v>0</v>
      </c>
      <c r="D73" s="24">
        <v>0</v>
      </c>
      <c r="E73" s="132">
        <v>0</v>
      </c>
      <c r="F73" s="24">
        <v>0</v>
      </c>
      <c r="G73" s="24">
        <v>0</v>
      </c>
      <c r="H73" s="132">
        <v>0</v>
      </c>
      <c r="I73" s="24">
        <v>0</v>
      </c>
      <c r="J73" s="24">
        <v>0</v>
      </c>
      <c r="K73" s="132">
        <v>0</v>
      </c>
      <c r="L73" s="24">
        <v>0</v>
      </c>
      <c r="M73" s="24">
        <v>0</v>
      </c>
      <c r="N73" s="78">
        <f t="shared" si="6"/>
        <v>0</v>
      </c>
      <c r="O73" s="79">
        <f t="shared" si="7"/>
        <v>0</v>
      </c>
      <c r="P73" s="90">
        <f t="shared" si="8"/>
        <v>0</v>
      </c>
    </row>
    <row r="74" spans="1:16" x14ac:dyDescent="0.25">
      <c r="A74" s="3" t="s">
        <v>113</v>
      </c>
      <c r="B74" s="132">
        <v>0</v>
      </c>
      <c r="C74" s="24">
        <v>0</v>
      </c>
      <c r="D74" s="24">
        <v>0</v>
      </c>
      <c r="E74" s="132">
        <v>0</v>
      </c>
      <c r="F74" s="24">
        <v>0</v>
      </c>
      <c r="G74" s="24">
        <v>0</v>
      </c>
      <c r="H74" s="132">
        <v>0</v>
      </c>
      <c r="I74" s="24">
        <v>0</v>
      </c>
      <c r="J74" s="24">
        <v>0</v>
      </c>
      <c r="K74" s="132">
        <v>0</v>
      </c>
      <c r="L74" s="24">
        <v>0</v>
      </c>
      <c r="M74" s="24">
        <v>0</v>
      </c>
      <c r="N74" s="78">
        <f t="shared" si="6"/>
        <v>0</v>
      </c>
      <c r="O74" s="79">
        <f t="shared" si="7"/>
        <v>0</v>
      </c>
      <c r="P74" s="90">
        <f t="shared" si="8"/>
        <v>0</v>
      </c>
    </row>
    <row r="75" spans="1:16" x14ac:dyDescent="0.25">
      <c r="A75" s="3" t="s">
        <v>114</v>
      </c>
      <c r="B75" s="132">
        <v>0</v>
      </c>
      <c r="C75" s="24">
        <v>0</v>
      </c>
      <c r="D75" s="24">
        <v>0</v>
      </c>
      <c r="E75" s="132">
        <v>0</v>
      </c>
      <c r="F75" s="24">
        <v>0</v>
      </c>
      <c r="G75" s="24">
        <v>0</v>
      </c>
      <c r="H75" s="132">
        <v>0</v>
      </c>
      <c r="I75" s="24">
        <v>0</v>
      </c>
      <c r="J75" s="24">
        <v>0</v>
      </c>
      <c r="K75" s="132">
        <v>0</v>
      </c>
      <c r="L75" s="24">
        <v>0</v>
      </c>
      <c r="M75" s="24">
        <v>0</v>
      </c>
      <c r="N75" s="78">
        <f t="shared" si="6"/>
        <v>0</v>
      </c>
      <c r="O75" s="79">
        <f t="shared" si="7"/>
        <v>0</v>
      </c>
      <c r="P75" s="90">
        <f t="shared" si="8"/>
        <v>0</v>
      </c>
    </row>
    <row r="76" spans="1:16" x14ac:dyDescent="0.25">
      <c r="A76" s="3" t="s">
        <v>115</v>
      </c>
      <c r="B76" s="132">
        <v>0</v>
      </c>
      <c r="C76" s="24">
        <v>0</v>
      </c>
      <c r="D76" s="24">
        <v>0</v>
      </c>
      <c r="E76" s="132">
        <v>0</v>
      </c>
      <c r="F76" s="24">
        <v>0</v>
      </c>
      <c r="G76" s="24">
        <v>0</v>
      </c>
      <c r="H76" s="132">
        <v>0</v>
      </c>
      <c r="I76" s="24">
        <v>0</v>
      </c>
      <c r="J76" s="24">
        <v>0</v>
      </c>
      <c r="K76" s="132">
        <v>0</v>
      </c>
      <c r="L76" s="24">
        <v>0</v>
      </c>
      <c r="M76" s="24">
        <v>0</v>
      </c>
      <c r="N76" s="78">
        <f t="shared" si="6"/>
        <v>0</v>
      </c>
      <c r="O76" s="79">
        <f t="shared" si="7"/>
        <v>0</v>
      </c>
      <c r="P76" s="90">
        <f t="shared" si="8"/>
        <v>0</v>
      </c>
    </row>
    <row r="77" spans="1:16" x14ac:dyDescent="0.25">
      <c r="A77" s="3" t="s">
        <v>116</v>
      </c>
      <c r="B77" s="132">
        <v>0</v>
      </c>
      <c r="C77" s="24">
        <v>0</v>
      </c>
      <c r="D77" s="24">
        <v>0</v>
      </c>
      <c r="E77" s="132">
        <v>0</v>
      </c>
      <c r="F77" s="24">
        <v>0</v>
      </c>
      <c r="G77" s="24">
        <v>0</v>
      </c>
      <c r="H77" s="132">
        <v>0</v>
      </c>
      <c r="I77" s="24">
        <v>0</v>
      </c>
      <c r="J77" s="24">
        <v>0</v>
      </c>
      <c r="K77" s="132">
        <v>0</v>
      </c>
      <c r="L77" s="24">
        <v>0</v>
      </c>
      <c r="M77" s="24">
        <v>0</v>
      </c>
      <c r="N77" s="78">
        <f t="shared" si="6"/>
        <v>0</v>
      </c>
      <c r="O77" s="79">
        <f t="shared" si="7"/>
        <v>0</v>
      </c>
      <c r="P77" s="90">
        <f t="shared" si="8"/>
        <v>0</v>
      </c>
    </row>
    <row r="78" spans="1:16" x14ac:dyDescent="0.25">
      <c r="A78" s="3" t="s">
        <v>117</v>
      </c>
      <c r="B78" s="132"/>
      <c r="C78" s="24"/>
      <c r="D78" s="24"/>
      <c r="E78" s="132"/>
      <c r="F78" s="24"/>
      <c r="G78" s="24"/>
      <c r="H78" s="132"/>
      <c r="I78" s="24"/>
      <c r="J78" s="24"/>
      <c r="K78" s="132"/>
      <c r="L78" s="24"/>
      <c r="M78" s="24"/>
      <c r="N78" s="78">
        <f t="shared" si="6"/>
        <v>0</v>
      </c>
      <c r="O78" s="79">
        <f t="shared" si="7"/>
        <v>0</v>
      </c>
      <c r="P78" s="90">
        <f t="shared" si="8"/>
        <v>0</v>
      </c>
    </row>
    <row r="79" spans="1:16" x14ac:dyDescent="0.25">
      <c r="A79" s="3" t="s">
        <v>118</v>
      </c>
      <c r="B79" s="132"/>
      <c r="C79" s="24"/>
      <c r="D79" s="24"/>
      <c r="E79" s="132"/>
      <c r="F79" s="24"/>
      <c r="G79" s="24"/>
      <c r="H79" s="132"/>
      <c r="I79" s="24"/>
      <c r="J79" s="24"/>
      <c r="K79" s="132"/>
      <c r="L79" s="24"/>
      <c r="M79" s="24"/>
      <c r="N79" s="78">
        <f t="shared" ref="N79:N84" si="9">+B79+E79+K79+H79</f>
        <v>0</v>
      </c>
      <c r="O79" s="79">
        <f t="shared" ref="O79:O84" si="10">+C79+F79+L79+I79</f>
        <v>0</v>
      </c>
      <c r="P79" s="90">
        <f t="shared" ref="P79:P84" si="11">+D79+G79+M79+J79</f>
        <v>0</v>
      </c>
    </row>
    <row r="80" spans="1:16" x14ac:dyDescent="0.25">
      <c r="A80" s="3" t="s">
        <v>119</v>
      </c>
      <c r="B80" s="132"/>
      <c r="C80" s="24"/>
      <c r="D80" s="24"/>
      <c r="E80" s="132"/>
      <c r="F80" s="24"/>
      <c r="G80" s="24"/>
      <c r="H80" s="132"/>
      <c r="I80" s="24"/>
      <c r="J80" s="24"/>
      <c r="K80" s="132"/>
      <c r="L80" s="24"/>
      <c r="M80" s="24"/>
      <c r="N80" s="78">
        <f t="shared" si="9"/>
        <v>0</v>
      </c>
      <c r="O80" s="79">
        <f t="shared" si="10"/>
        <v>0</v>
      </c>
      <c r="P80" s="90">
        <f t="shared" si="11"/>
        <v>0</v>
      </c>
    </row>
    <row r="81" spans="1:16" x14ac:dyDescent="0.25">
      <c r="A81" s="3" t="s">
        <v>120</v>
      </c>
      <c r="B81" s="141"/>
      <c r="C81" s="142"/>
      <c r="D81" s="142"/>
      <c r="E81" s="141"/>
      <c r="F81" s="142"/>
      <c r="G81" s="142"/>
      <c r="H81" s="141"/>
      <c r="I81" s="142"/>
      <c r="J81" s="142"/>
      <c r="K81" s="141"/>
      <c r="L81" s="142"/>
      <c r="M81" s="142"/>
      <c r="N81" s="78">
        <f t="shared" si="9"/>
        <v>0</v>
      </c>
      <c r="O81" s="79">
        <f t="shared" si="10"/>
        <v>0</v>
      </c>
      <c r="P81" s="90">
        <f t="shared" si="11"/>
        <v>0</v>
      </c>
    </row>
    <row r="82" spans="1:16" x14ac:dyDescent="0.25">
      <c r="A82" s="3" t="s">
        <v>121</v>
      </c>
      <c r="B82" s="141"/>
      <c r="C82" s="142"/>
      <c r="D82" s="142"/>
      <c r="E82" s="141"/>
      <c r="F82" s="142"/>
      <c r="G82" s="142"/>
      <c r="H82" s="141"/>
      <c r="I82" s="142"/>
      <c r="J82" s="142"/>
      <c r="K82" s="141"/>
      <c r="L82" s="142"/>
      <c r="M82" s="142"/>
      <c r="N82" s="78">
        <f t="shared" si="9"/>
        <v>0</v>
      </c>
      <c r="O82" s="79">
        <f t="shared" si="10"/>
        <v>0</v>
      </c>
      <c r="P82" s="90">
        <f t="shared" si="11"/>
        <v>0</v>
      </c>
    </row>
    <row r="83" spans="1:16" x14ac:dyDescent="0.25">
      <c r="A83" s="3" t="s">
        <v>122</v>
      </c>
      <c r="B83" s="139"/>
      <c r="C83" s="140"/>
      <c r="D83" s="140"/>
      <c r="E83" s="139"/>
      <c r="F83" s="140"/>
      <c r="G83" s="140"/>
      <c r="H83" s="139"/>
      <c r="I83" s="140"/>
      <c r="J83" s="140"/>
      <c r="K83" s="139"/>
      <c r="L83" s="140"/>
      <c r="M83" s="140"/>
      <c r="N83" s="78">
        <f t="shared" si="9"/>
        <v>0</v>
      </c>
      <c r="O83" s="79">
        <f t="shared" si="10"/>
        <v>0</v>
      </c>
      <c r="P83" s="90">
        <f t="shared" si="11"/>
        <v>0</v>
      </c>
    </row>
    <row r="84" spans="1:16" s="80" customFormat="1" ht="21.6" customHeight="1" thickBot="1" x14ac:dyDescent="0.3">
      <c r="A84" s="149" t="s">
        <v>36</v>
      </c>
      <c r="B84" s="25">
        <f>SUM(B14:B83)</f>
        <v>405.6</v>
      </c>
      <c r="C84" s="26">
        <f>SUM(C14:C83)</f>
        <v>404.8</v>
      </c>
      <c r="D84" s="26">
        <f>SUM(D14:D83)</f>
        <v>405.6</v>
      </c>
      <c r="E84" s="25">
        <f t="shared" ref="E84:M84" si="12">SUM(E14:E83)</f>
        <v>1965.6</v>
      </c>
      <c r="F84" s="26">
        <f t="shared" si="12"/>
        <v>1965.6</v>
      </c>
      <c r="G84" s="26">
        <f t="shared" si="12"/>
        <v>1965.6</v>
      </c>
      <c r="H84" s="25">
        <f t="shared" si="12"/>
        <v>936</v>
      </c>
      <c r="I84" s="26">
        <f t="shared" si="12"/>
        <v>936</v>
      </c>
      <c r="J84" s="26">
        <f t="shared" si="12"/>
        <v>936</v>
      </c>
      <c r="K84" s="25">
        <f t="shared" si="12"/>
        <v>1622.4</v>
      </c>
      <c r="L84" s="26">
        <f t="shared" si="12"/>
        <v>1622.4</v>
      </c>
      <c r="M84" s="26">
        <f t="shared" si="12"/>
        <v>1622.4</v>
      </c>
      <c r="N84" s="25">
        <f t="shared" si="9"/>
        <v>4929.6000000000004</v>
      </c>
      <c r="O84" s="26">
        <f t="shared" si="10"/>
        <v>4928.8</v>
      </c>
      <c r="P84" s="129">
        <f t="shared" si="11"/>
        <v>4929.6000000000004</v>
      </c>
    </row>
    <row r="85" spans="1:16" x14ac:dyDescent="0.25">
      <c r="A85" s="2"/>
      <c r="B85" s="6" t="b">
        <v>0</v>
      </c>
      <c r="C85" s="6" t="b">
        <v>0</v>
      </c>
      <c r="D85" s="6" t="b">
        <v>0</v>
      </c>
      <c r="E85" s="6" t="b">
        <v>0</v>
      </c>
      <c r="F85" s="6" t="b">
        <v>0</v>
      </c>
      <c r="G85" s="6" t="b">
        <v>0</v>
      </c>
      <c r="H85" s="6" t="b">
        <v>0</v>
      </c>
      <c r="I85" s="6" t="b">
        <v>0</v>
      </c>
      <c r="J85" s="6" t="b">
        <v>0</v>
      </c>
      <c r="K85" s="6" t="b">
        <v>0</v>
      </c>
      <c r="L85" s="6" t="b">
        <v>0</v>
      </c>
      <c r="M85" s="6" t="b">
        <v>0</v>
      </c>
    </row>
    <row r="86" spans="1:16" x14ac:dyDescent="0.25">
      <c r="A86" s="1"/>
      <c r="B86" s="1" t="b">
        <v>0</v>
      </c>
      <c r="C86" s="1" t="b">
        <v>0</v>
      </c>
      <c r="D86" s="1" t="b">
        <v>0</v>
      </c>
      <c r="E86" s="1" t="b">
        <v>0</v>
      </c>
      <c r="F86" s="1" t="b">
        <v>0</v>
      </c>
      <c r="G86" s="1" t="b">
        <v>0</v>
      </c>
      <c r="H86" s="1" t="b">
        <v>0</v>
      </c>
      <c r="I86" s="1" t="b">
        <v>0</v>
      </c>
      <c r="J86" s="1" t="b">
        <v>0</v>
      </c>
      <c r="K86" s="1" t="b">
        <v>0</v>
      </c>
      <c r="L86" s="1" t="b">
        <v>0</v>
      </c>
      <c r="M86" s="1" t="b">
        <v>0</v>
      </c>
      <c r="N86" s="81"/>
      <c r="O86" s="81"/>
      <c r="P86" s="81"/>
    </row>
    <row r="87" spans="1:16" ht="20.25" x14ac:dyDescent="0.25">
      <c r="B87" s="133">
        <f>B84-B11</f>
        <v>1.8000000000000114</v>
      </c>
      <c r="C87" s="133">
        <f>C84-C11</f>
        <v>1</v>
      </c>
      <c r="D87" s="133">
        <f t="shared" ref="D87:M87" si="13">D84-D11</f>
        <v>1.8000000000000114</v>
      </c>
      <c r="E87" s="136">
        <f>E84-E11</f>
        <v>0.79999999999995453</v>
      </c>
      <c r="F87" s="136">
        <f t="shared" si="13"/>
        <v>0.79999999999995453</v>
      </c>
      <c r="G87" s="136">
        <f t="shared" si="13"/>
        <v>0.79999999999995453</v>
      </c>
      <c r="H87" s="136">
        <f t="shared" si="13"/>
        <v>3</v>
      </c>
      <c r="I87" s="136">
        <f t="shared" si="13"/>
        <v>3</v>
      </c>
      <c r="J87" s="136">
        <f t="shared" si="13"/>
        <v>3</v>
      </c>
      <c r="K87" s="136">
        <f>K84-K11</f>
        <v>9.2000000000000455</v>
      </c>
      <c r="L87" s="136">
        <f t="shared" si="13"/>
        <v>9.2000000000000455</v>
      </c>
      <c r="M87" s="136">
        <f t="shared" si="13"/>
        <v>9.2000000000000455</v>
      </c>
      <c r="N87" s="82"/>
    </row>
    <row r="88" spans="1:16" ht="20.25" x14ac:dyDescent="0.25">
      <c r="B88" s="134">
        <v>15.6</v>
      </c>
      <c r="C88" s="134">
        <v>15.6</v>
      </c>
      <c r="D88" s="134">
        <v>15.6</v>
      </c>
      <c r="E88" s="134">
        <v>15.6</v>
      </c>
      <c r="F88" s="134">
        <v>15.6</v>
      </c>
      <c r="G88" s="134">
        <v>15.6</v>
      </c>
      <c r="H88" s="134">
        <v>15.6</v>
      </c>
      <c r="I88" s="134">
        <v>15.6</v>
      </c>
      <c r="J88" s="134">
        <v>15.6</v>
      </c>
      <c r="K88" s="134">
        <v>15.6</v>
      </c>
      <c r="L88" s="134">
        <v>15.6</v>
      </c>
      <c r="M88" s="134">
        <v>15.6</v>
      </c>
    </row>
    <row r="89" spans="1:16" ht="20.25" x14ac:dyDescent="0.25">
      <c r="B89" s="135" t="b">
        <f t="shared" ref="B89:M89" si="14">+B87&lt;=B88</f>
        <v>1</v>
      </c>
      <c r="C89" s="135" t="b">
        <f t="shared" si="14"/>
        <v>1</v>
      </c>
      <c r="D89" s="135" t="b">
        <f t="shared" si="14"/>
        <v>1</v>
      </c>
      <c r="E89" s="135" t="b">
        <f t="shared" si="14"/>
        <v>1</v>
      </c>
      <c r="F89" s="135" t="b">
        <f t="shared" si="14"/>
        <v>1</v>
      </c>
      <c r="G89" s="135" t="b">
        <f t="shared" si="14"/>
        <v>1</v>
      </c>
      <c r="H89" s="135" t="b">
        <f t="shared" si="14"/>
        <v>1</v>
      </c>
      <c r="I89" s="135" t="b">
        <f t="shared" si="14"/>
        <v>1</v>
      </c>
      <c r="J89" s="135" t="b">
        <f t="shared" si="14"/>
        <v>1</v>
      </c>
      <c r="K89" s="135" t="b">
        <f>+K87&lt;=K88</f>
        <v>1</v>
      </c>
      <c r="L89" s="135" t="b">
        <f t="shared" si="14"/>
        <v>1</v>
      </c>
      <c r="M89" s="135" t="b">
        <f t="shared" si="14"/>
        <v>1</v>
      </c>
    </row>
  </sheetData>
  <mergeCells count="11">
    <mergeCell ref="B2:P2"/>
    <mergeCell ref="E4:G4"/>
    <mergeCell ref="K4:M4"/>
    <mergeCell ref="E3:G3"/>
    <mergeCell ref="B3:D3"/>
    <mergeCell ref="N4:P4"/>
    <mergeCell ref="N3:P3"/>
    <mergeCell ref="B4:D4"/>
    <mergeCell ref="K3:M3"/>
    <mergeCell ref="H3:J3"/>
    <mergeCell ref="H4:J4"/>
  </mergeCells>
  <phoneticPr fontId="24" type="noConversion"/>
  <conditionalFormatting sqref="A86">
    <cfRule type="containsText" dxfId="4" priority="12" operator="containsText" text="TRUE">
      <formula>NOT(ISERROR(SEARCH("TRUE",A86)))</formula>
    </cfRule>
    <cfRule type="containsText" dxfId="3" priority="13" operator="containsText" text="FALSE">
      <formula>NOT(ISERROR(SEARCH("FALSE",A86)))</formula>
    </cfRule>
  </conditionalFormatting>
  <conditionalFormatting sqref="B87:D87">
    <cfRule type="cellIs" dxfId="2" priority="9" operator="lessThan">
      <formula>0</formula>
    </cfRule>
  </conditionalFormatting>
  <conditionalFormatting sqref="B89:M89">
    <cfRule type="containsText" dxfId="1" priority="10" operator="containsText" text="TRUE">
      <formula>NOT(ISERROR(SEARCH("TRUE",B89)))</formula>
    </cfRule>
    <cfRule type="containsText" dxfId="0" priority="11" operator="containsText" text="FALSE">
      <formula>NOT(ISERROR(SEARCH("FALSE",B89)))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514"/>
  <sheetViews>
    <sheetView tabSelected="1" zoomScale="70" zoomScaleNormal="70" zoomScaleSheetLayoutView="80" workbookViewId="0">
      <pane ySplit="18" topLeftCell="A69" activePane="bottomLeft" state="frozen"/>
      <selection pane="bottomLeft" activeCell="F88" sqref="F88"/>
    </sheetView>
  </sheetViews>
  <sheetFormatPr defaultColWidth="10.28515625" defaultRowHeight="18" x14ac:dyDescent="0.25"/>
  <cols>
    <col min="1" max="1" width="19.5703125" style="29" bestFit="1" customWidth="1"/>
    <col min="2" max="5" width="21.7109375" style="29" customWidth="1"/>
    <col min="6" max="6" width="28.85546875" style="29" customWidth="1"/>
    <col min="7" max="7" width="11.42578125" style="110" bestFit="1" customWidth="1"/>
    <col min="8" max="8" width="12.85546875" style="110" customWidth="1"/>
    <col min="9" max="9" width="12.5703125" style="110" bestFit="1" customWidth="1"/>
    <col min="10" max="10" width="28.42578125" style="110" customWidth="1"/>
    <col min="11" max="12" width="9.42578125" style="110" bestFit="1" customWidth="1"/>
    <col min="13" max="13" width="22" style="110" bestFit="1" customWidth="1"/>
    <col min="14" max="14" width="22" style="110" customWidth="1"/>
    <col min="15" max="15" width="30.42578125" style="110" customWidth="1"/>
    <col min="16" max="16" width="28.140625" style="110" customWidth="1"/>
    <col min="17" max="17" width="15.42578125" style="110" bestFit="1" customWidth="1"/>
    <col min="18" max="18" width="12" style="110" bestFit="1" customWidth="1"/>
    <col min="19" max="19" width="12.42578125" style="110" bestFit="1" customWidth="1"/>
    <col min="20" max="16384" width="10.28515625" style="29"/>
  </cols>
  <sheetData>
    <row r="1" spans="1:19" x14ac:dyDescent="0.25">
      <c r="G1" s="109"/>
    </row>
    <row r="2" spans="1:19" x14ac:dyDescent="0.25">
      <c r="G2" s="109"/>
    </row>
    <row r="3" spans="1:19" x14ac:dyDescent="0.25">
      <c r="A3" s="30" t="s">
        <v>32</v>
      </c>
      <c r="B3" s="30" t="s">
        <v>31</v>
      </c>
      <c r="C3" s="55"/>
      <c r="D3" s="55" t="s">
        <v>30</v>
      </c>
      <c r="E3" s="55" t="s">
        <v>29</v>
      </c>
      <c r="G3" s="29"/>
    </row>
    <row r="4" spans="1:19" x14ac:dyDescent="0.25">
      <c r="A4" s="30" t="s">
        <v>28</v>
      </c>
      <c r="B4" s="31" t="s">
        <v>27</v>
      </c>
      <c r="C4" s="55"/>
      <c r="D4" s="55" t="s">
        <v>26</v>
      </c>
      <c r="E4" s="55" t="s">
        <v>135</v>
      </c>
      <c r="G4" s="41"/>
      <c r="H4" s="111"/>
      <c r="K4" s="29"/>
      <c r="L4" s="29"/>
    </row>
    <row r="5" spans="1:19" x14ac:dyDescent="0.25">
      <c r="A5" s="30" t="s">
        <v>25</v>
      </c>
      <c r="B5" s="33"/>
      <c r="C5" s="56"/>
      <c r="D5" s="55" t="s">
        <v>24</v>
      </c>
      <c r="E5" s="56"/>
      <c r="G5" s="130"/>
      <c r="K5" s="29"/>
      <c r="L5" s="41"/>
    </row>
    <row r="6" spans="1:19" x14ac:dyDescent="0.25">
      <c r="A6" s="30" t="s">
        <v>23</v>
      </c>
      <c r="B6" s="34"/>
      <c r="C6" s="57"/>
      <c r="D6" s="55" t="s">
        <v>22</v>
      </c>
      <c r="E6" s="57">
        <v>45545</v>
      </c>
      <c r="G6" s="29"/>
      <c r="K6" s="29"/>
      <c r="L6" s="130"/>
    </row>
    <row r="7" spans="1:19" x14ac:dyDescent="0.25">
      <c r="G7" s="112"/>
      <c r="K7" s="29"/>
      <c r="L7" s="29"/>
    </row>
    <row r="8" spans="1:19" ht="18.75" thickBot="1" x14ac:dyDescent="0.3">
      <c r="B8" s="35"/>
      <c r="C8" s="35"/>
      <c r="D8" s="35"/>
      <c r="E8" s="35"/>
      <c r="F8" s="36"/>
      <c r="G8" s="112"/>
      <c r="H8" s="113"/>
      <c r="I8" s="114"/>
      <c r="J8" s="115"/>
      <c r="K8" s="116"/>
      <c r="M8" s="116"/>
      <c r="N8" s="116"/>
      <c r="O8" s="117"/>
      <c r="P8" s="118"/>
      <c r="Q8" s="118"/>
      <c r="R8" s="118"/>
      <c r="S8" s="118"/>
    </row>
    <row r="9" spans="1:19" ht="28.5" customHeight="1" x14ac:dyDescent="0.25">
      <c r="B9" s="37" t="s">
        <v>39</v>
      </c>
      <c r="C9" s="37" t="s">
        <v>1</v>
      </c>
      <c r="D9" s="37" t="s">
        <v>129</v>
      </c>
      <c r="E9" s="37" t="s">
        <v>130</v>
      </c>
      <c r="F9" s="182" t="s">
        <v>21</v>
      </c>
      <c r="G9" s="166" t="s">
        <v>40</v>
      </c>
      <c r="H9" s="187" t="s">
        <v>41</v>
      </c>
      <c r="I9" s="166" t="s">
        <v>42</v>
      </c>
      <c r="J9" s="171" t="s">
        <v>43</v>
      </c>
      <c r="K9" s="166" t="s">
        <v>44</v>
      </c>
      <c r="L9" s="166" t="s">
        <v>45</v>
      </c>
      <c r="M9" s="166" t="s">
        <v>46</v>
      </c>
      <c r="N9" s="171" t="s">
        <v>47</v>
      </c>
      <c r="O9" s="171" t="s">
        <v>48</v>
      </c>
      <c r="P9" s="166" t="s">
        <v>49</v>
      </c>
      <c r="Q9" s="166" t="s">
        <v>50</v>
      </c>
      <c r="R9" s="171" t="s">
        <v>51</v>
      </c>
      <c r="S9" s="174" t="s">
        <v>52</v>
      </c>
    </row>
    <row r="10" spans="1:19" ht="18" customHeight="1" x14ac:dyDescent="0.25">
      <c r="B10" s="38" t="s">
        <v>10</v>
      </c>
      <c r="C10" s="38" t="s">
        <v>11</v>
      </c>
      <c r="D10" s="38" t="s">
        <v>131</v>
      </c>
      <c r="E10" s="38" t="s">
        <v>131</v>
      </c>
      <c r="F10" s="183"/>
      <c r="G10" s="167"/>
      <c r="H10" s="188"/>
      <c r="I10" s="167"/>
      <c r="J10" s="172"/>
      <c r="K10" s="167"/>
      <c r="L10" s="167"/>
      <c r="M10" s="167"/>
      <c r="N10" s="172"/>
      <c r="O10" s="172"/>
      <c r="P10" s="167"/>
      <c r="Q10" s="167"/>
      <c r="R10" s="172"/>
      <c r="S10" s="175"/>
    </row>
    <row r="11" spans="1:19" s="41" customFormat="1" ht="18" customHeight="1" x14ac:dyDescent="0.25">
      <c r="A11" s="39" t="s">
        <v>8</v>
      </c>
      <c r="B11" s="40" t="s">
        <v>33</v>
      </c>
      <c r="C11" s="40" t="s">
        <v>34</v>
      </c>
      <c r="D11" s="40" t="s">
        <v>34</v>
      </c>
      <c r="E11" s="40" t="s">
        <v>133</v>
      </c>
      <c r="F11" s="183"/>
      <c r="G11" s="167"/>
      <c r="H11" s="188"/>
      <c r="I11" s="167"/>
      <c r="J11" s="172"/>
      <c r="K11" s="167"/>
      <c r="L11" s="167"/>
      <c r="M11" s="167"/>
      <c r="N11" s="172"/>
      <c r="O11" s="172"/>
      <c r="P11" s="167"/>
      <c r="Q11" s="167"/>
      <c r="R11" s="172"/>
      <c r="S11" s="175"/>
    </row>
    <row r="12" spans="1:19" ht="18" customHeight="1" x14ac:dyDescent="0.25">
      <c r="A12" s="39" t="s">
        <v>20</v>
      </c>
      <c r="B12" s="40"/>
      <c r="C12" s="40"/>
      <c r="D12" s="40"/>
      <c r="E12" s="40"/>
      <c r="F12" s="183"/>
      <c r="G12" s="167"/>
      <c r="H12" s="188"/>
      <c r="I12" s="167"/>
      <c r="J12" s="172"/>
      <c r="K12" s="167"/>
      <c r="L12" s="167"/>
      <c r="M12" s="167"/>
      <c r="N12" s="172"/>
      <c r="O12" s="172"/>
      <c r="P12" s="167"/>
      <c r="Q12" s="167"/>
      <c r="R12" s="172"/>
      <c r="S12" s="175"/>
    </row>
    <row r="13" spans="1:19" ht="18" customHeight="1" x14ac:dyDescent="0.25">
      <c r="A13" s="39" t="s">
        <v>19</v>
      </c>
      <c r="B13" s="40">
        <v>3</v>
      </c>
      <c r="C13" s="40">
        <v>3</v>
      </c>
      <c r="D13" s="40">
        <v>3</v>
      </c>
      <c r="E13" s="40">
        <v>3</v>
      </c>
      <c r="F13" s="183"/>
      <c r="G13" s="167"/>
      <c r="H13" s="188"/>
      <c r="I13" s="167"/>
      <c r="J13" s="172"/>
      <c r="K13" s="167"/>
      <c r="L13" s="167"/>
      <c r="M13" s="167"/>
      <c r="N13" s="172"/>
      <c r="O13" s="172"/>
      <c r="P13" s="167"/>
      <c r="Q13" s="167"/>
      <c r="R13" s="172"/>
      <c r="S13" s="175"/>
    </row>
    <row r="14" spans="1:19" s="41" customFormat="1" ht="18" customHeight="1" x14ac:dyDescent="0.25">
      <c r="A14" s="41" t="s">
        <v>18</v>
      </c>
      <c r="B14" s="42">
        <f>SUM('Breakdown '!B9:D9)</f>
        <v>608.40000000000009</v>
      </c>
      <c r="C14" s="42">
        <f>+SUM('Breakdown '!E9:G9)</f>
        <v>2948.3999999999996</v>
      </c>
      <c r="D14" s="42">
        <f>+SUM('Breakdown '!H9:J9)</f>
        <v>1404</v>
      </c>
      <c r="E14" s="42">
        <f>+SUM('Breakdown '!K9:M9)</f>
        <v>2433.6000000000004</v>
      </c>
      <c r="F14" s="183"/>
      <c r="G14" s="184"/>
      <c r="H14" s="189"/>
      <c r="I14" s="179"/>
      <c r="J14" s="172"/>
      <c r="K14" s="179"/>
      <c r="L14" s="168"/>
      <c r="M14" s="168"/>
      <c r="N14" s="172"/>
      <c r="O14" s="172"/>
      <c r="P14" s="168"/>
      <c r="Q14" s="168"/>
      <c r="R14" s="172"/>
      <c r="S14" s="176"/>
    </row>
    <row r="15" spans="1:19" s="45" customFormat="1" ht="18" customHeight="1" x14ac:dyDescent="0.25">
      <c r="A15" s="43" t="s">
        <v>17</v>
      </c>
      <c r="B15" s="44">
        <f>SUM('Breakdown '!B10:D10)</f>
        <v>603</v>
      </c>
      <c r="C15" s="44">
        <f>+SUM('Breakdown '!E10:G10)</f>
        <v>2946</v>
      </c>
      <c r="D15" s="44">
        <f>+SUM('Breakdown '!H10:J10)</f>
        <v>1395</v>
      </c>
      <c r="E15" s="44">
        <f>+SUM('Breakdown '!K10:M10)</f>
        <v>2406</v>
      </c>
      <c r="F15" s="183"/>
      <c r="G15" s="184"/>
      <c r="H15" s="189"/>
      <c r="I15" s="179"/>
      <c r="J15" s="172"/>
      <c r="K15" s="179"/>
      <c r="L15" s="168"/>
      <c r="M15" s="168"/>
      <c r="N15" s="172"/>
      <c r="O15" s="172"/>
      <c r="P15" s="168"/>
      <c r="Q15" s="168"/>
      <c r="R15" s="172"/>
      <c r="S15" s="176"/>
    </row>
    <row r="16" spans="1:19" ht="18" customHeight="1" x14ac:dyDescent="0.25">
      <c r="A16" s="29" t="s">
        <v>13</v>
      </c>
      <c r="B16" s="46">
        <f t="shared" ref="B16:E16" si="0">B15+B14</f>
        <v>1211.4000000000001</v>
      </c>
      <c r="C16" s="46">
        <f t="shared" si="0"/>
        <v>5894.4</v>
      </c>
      <c r="D16" s="46">
        <f t="shared" ref="D16" si="1">D15+D14</f>
        <v>2799</v>
      </c>
      <c r="E16" s="46">
        <f t="shared" si="0"/>
        <v>4839.6000000000004</v>
      </c>
      <c r="F16" s="183"/>
      <c r="G16" s="184"/>
      <c r="H16" s="189"/>
      <c r="I16" s="179"/>
      <c r="J16" s="172"/>
      <c r="K16" s="179"/>
      <c r="L16" s="168"/>
      <c r="M16" s="168"/>
      <c r="N16" s="172"/>
      <c r="O16" s="172"/>
      <c r="P16" s="168"/>
      <c r="Q16" s="168"/>
      <c r="R16" s="172"/>
      <c r="S16" s="176"/>
    </row>
    <row r="17" spans="1:19" ht="18" customHeight="1" x14ac:dyDescent="0.25">
      <c r="A17" s="47" t="s">
        <v>16</v>
      </c>
      <c r="B17" s="42"/>
      <c r="C17" s="42"/>
      <c r="D17" s="42"/>
      <c r="E17" s="42"/>
      <c r="F17" s="183"/>
      <c r="G17" s="185"/>
      <c r="H17" s="190"/>
      <c r="I17" s="180"/>
      <c r="J17" s="172"/>
      <c r="K17" s="180"/>
      <c r="L17" s="169"/>
      <c r="M17" s="169"/>
      <c r="N17" s="172"/>
      <c r="O17" s="172"/>
      <c r="P17" s="169"/>
      <c r="Q17" s="169"/>
      <c r="R17" s="172"/>
      <c r="S17" s="177"/>
    </row>
    <row r="18" spans="1:19" ht="18" customHeight="1" thickBot="1" x14ac:dyDescent="0.3">
      <c r="A18" s="29" t="s">
        <v>15</v>
      </c>
      <c r="B18" s="54" t="s">
        <v>14</v>
      </c>
      <c r="C18" s="54" t="s">
        <v>14</v>
      </c>
      <c r="D18" s="54" t="s">
        <v>14</v>
      </c>
      <c r="E18" s="54" t="s">
        <v>14</v>
      </c>
      <c r="F18" s="183"/>
      <c r="G18" s="186"/>
      <c r="H18" s="191"/>
      <c r="I18" s="181"/>
      <c r="J18" s="173"/>
      <c r="K18" s="181"/>
      <c r="L18" s="170"/>
      <c r="M18" s="170"/>
      <c r="N18" s="173"/>
      <c r="O18" s="173"/>
      <c r="P18" s="170"/>
      <c r="Q18" s="170"/>
      <c r="R18" s="173"/>
      <c r="S18" s="178"/>
    </row>
    <row r="19" spans="1:19" ht="18.75" thickTop="1" x14ac:dyDescent="0.25">
      <c r="A19" s="147" t="s">
        <v>53</v>
      </c>
      <c r="B19" s="48">
        <f>+SUM('Breakdown '!B14:D14)</f>
        <v>0</v>
      </c>
      <c r="C19" s="48">
        <f>+SUM('Breakdown '!E14:G14)</f>
        <v>0</v>
      </c>
      <c r="D19" s="48">
        <f>+SUM('Breakdown '!H14:J14)</f>
        <v>0</v>
      </c>
      <c r="E19" s="48">
        <f>+SUM('Breakdown '!K14:M14)</f>
        <v>0</v>
      </c>
      <c r="F19" s="58">
        <f t="shared" ref="F19:F50" si="2">SUM(B19:E19)</f>
        <v>0</v>
      </c>
      <c r="G19" s="96">
        <v>0</v>
      </c>
      <c r="H19" s="97">
        <v>46308</v>
      </c>
      <c r="I19" s="98">
        <f t="shared" ref="I19:I83" si="3">_xlfn.ISOWEEKNUM(H19)</f>
        <v>42</v>
      </c>
      <c r="J19" s="99"/>
      <c r="K19" s="100"/>
      <c r="L19" s="100"/>
      <c r="M19" s="101"/>
      <c r="N19" s="101"/>
      <c r="O19" s="101"/>
      <c r="P19" s="101"/>
      <c r="Q19" s="101"/>
      <c r="R19" s="102"/>
      <c r="S19" s="103"/>
    </row>
    <row r="20" spans="1:19" x14ac:dyDescent="0.25">
      <c r="A20" s="147" t="s">
        <v>54</v>
      </c>
      <c r="B20" s="49">
        <f>+SUM('Breakdown '!B15:D15)</f>
        <v>0</v>
      </c>
      <c r="C20" s="49">
        <f>+SUM('Breakdown '!E15:G15)</f>
        <v>0</v>
      </c>
      <c r="D20" s="49">
        <f>+SUM('Breakdown '!H15:J15)</f>
        <v>0</v>
      </c>
      <c r="E20" s="49">
        <f>+SUM('Breakdown '!K15:M15)</f>
        <v>0</v>
      </c>
      <c r="F20" s="58">
        <f t="shared" si="2"/>
        <v>0</v>
      </c>
      <c r="G20" s="96">
        <f>F20+G19</f>
        <v>0</v>
      </c>
      <c r="H20" s="97">
        <f t="shared" ref="H20:H85" si="4">H19+7</f>
        <v>46315</v>
      </c>
      <c r="I20" s="98">
        <f t="shared" si="3"/>
        <v>43</v>
      </c>
      <c r="J20" s="99"/>
      <c r="K20" s="100"/>
      <c r="L20" s="100"/>
      <c r="M20" s="101"/>
      <c r="N20" s="101"/>
      <c r="O20" s="101"/>
      <c r="P20" s="101"/>
      <c r="Q20" s="101"/>
      <c r="R20" s="102"/>
      <c r="S20" s="103"/>
    </row>
    <row r="21" spans="1:19" x14ac:dyDescent="0.25">
      <c r="A21" s="147" t="s">
        <v>55</v>
      </c>
      <c r="B21" s="49">
        <f>+SUM('Breakdown '!B16:D16)</f>
        <v>0</v>
      </c>
      <c r="C21" s="49">
        <f>+SUM('Breakdown '!E16:G16)</f>
        <v>0</v>
      </c>
      <c r="D21" s="49">
        <f>+SUM('Breakdown '!H16:J16)</f>
        <v>0</v>
      </c>
      <c r="E21" s="49">
        <f>+SUM('Breakdown '!K16:M16)</f>
        <v>0</v>
      </c>
      <c r="F21" s="58">
        <f t="shared" si="2"/>
        <v>0</v>
      </c>
      <c r="G21" s="96">
        <f t="shared" ref="G21:G30" si="5">F21+G20</f>
        <v>0</v>
      </c>
      <c r="H21" s="97">
        <f t="shared" si="4"/>
        <v>46322</v>
      </c>
      <c r="I21" s="98">
        <f t="shared" si="3"/>
        <v>44</v>
      </c>
      <c r="J21" s="99"/>
      <c r="K21" s="100"/>
      <c r="L21" s="100"/>
      <c r="M21" s="101"/>
      <c r="N21" s="101"/>
      <c r="O21" s="101"/>
      <c r="P21" s="101"/>
      <c r="Q21" s="101"/>
      <c r="R21" s="102"/>
      <c r="S21" s="103"/>
    </row>
    <row r="22" spans="1:19" x14ac:dyDescent="0.25">
      <c r="A22" s="147" t="s">
        <v>56</v>
      </c>
      <c r="B22" s="49">
        <f>+SUM('Breakdown '!B17:D17)</f>
        <v>0</v>
      </c>
      <c r="C22" s="49">
        <f>+SUM('Breakdown '!E17:G17)</f>
        <v>0</v>
      </c>
      <c r="D22" s="49">
        <f>+SUM('Breakdown '!H17:J17)</f>
        <v>0</v>
      </c>
      <c r="E22" s="49">
        <f>+SUM('Breakdown '!K17:M17)</f>
        <v>0</v>
      </c>
      <c r="F22" s="60">
        <f t="shared" si="2"/>
        <v>0</v>
      </c>
      <c r="G22" s="96">
        <f t="shared" si="5"/>
        <v>0</v>
      </c>
      <c r="H22" s="97">
        <f t="shared" si="4"/>
        <v>46329</v>
      </c>
      <c r="I22" s="98">
        <f t="shared" si="3"/>
        <v>45</v>
      </c>
      <c r="J22" s="99"/>
      <c r="K22" s="100"/>
      <c r="L22" s="100"/>
      <c r="M22" s="101"/>
      <c r="N22" s="101"/>
      <c r="O22" s="101"/>
      <c r="P22" s="101"/>
      <c r="Q22" s="101"/>
      <c r="R22" s="102"/>
      <c r="S22" s="103"/>
    </row>
    <row r="23" spans="1:19" x14ac:dyDescent="0.25">
      <c r="A23" s="147" t="s">
        <v>57</v>
      </c>
      <c r="B23" s="49">
        <f>+SUM('Breakdown '!B18:D18)</f>
        <v>0</v>
      </c>
      <c r="C23" s="49">
        <f>+SUM('Breakdown '!E18:G18)</f>
        <v>0</v>
      </c>
      <c r="D23" s="49">
        <f>+SUM('Breakdown '!H18:J18)</f>
        <v>0</v>
      </c>
      <c r="E23" s="49">
        <f>+SUM('Breakdown '!K18:M18)</f>
        <v>0</v>
      </c>
      <c r="F23" s="58">
        <f t="shared" si="2"/>
        <v>0</v>
      </c>
      <c r="G23" s="96">
        <f t="shared" si="5"/>
        <v>0</v>
      </c>
      <c r="H23" s="97">
        <f t="shared" si="4"/>
        <v>46336</v>
      </c>
      <c r="I23" s="98">
        <f t="shared" si="3"/>
        <v>46</v>
      </c>
      <c r="J23" s="99"/>
      <c r="K23" s="100"/>
      <c r="L23" s="100"/>
      <c r="M23" s="101"/>
      <c r="N23" s="101"/>
      <c r="O23" s="101"/>
      <c r="P23" s="101"/>
      <c r="Q23" s="101"/>
      <c r="R23" s="102"/>
      <c r="S23" s="103"/>
    </row>
    <row r="24" spans="1:19" x14ac:dyDescent="0.25">
      <c r="A24" s="147" t="s">
        <v>58</v>
      </c>
      <c r="B24" s="49">
        <f>+SUM('Breakdown '!B19:D19)</f>
        <v>0</v>
      </c>
      <c r="C24" s="49">
        <f>+SUM('Breakdown '!E19:G19)</f>
        <v>0</v>
      </c>
      <c r="D24" s="49">
        <f>+SUM('Breakdown '!H19:J19)</f>
        <v>0</v>
      </c>
      <c r="E24" s="49">
        <f>+SUM('Breakdown '!K19:M19)</f>
        <v>0</v>
      </c>
      <c r="F24" s="58">
        <f t="shared" si="2"/>
        <v>0</v>
      </c>
      <c r="G24" s="96">
        <f t="shared" si="5"/>
        <v>0</v>
      </c>
      <c r="H24" s="97">
        <f t="shared" si="4"/>
        <v>46343</v>
      </c>
      <c r="I24" s="98">
        <f t="shared" si="3"/>
        <v>47</v>
      </c>
      <c r="J24" s="99"/>
      <c r="K24" s="100"/>
      <c r="L24" s="100"/>
      <c r="M24" s="101"/>
      <c r="N24" s="101"/>
      <c r="O24" s="101"/>
      <c r="P24" s="101"/>
      <c r="Q24" s="101"/>
      <c r="R24" s="102"/>
      <c r="S24" s="103"/>
    </row>
    <row r="25" spans="1:19" x14ac:dyDescent="0.25">
      <c r="A25" s="147" t="s">
        <v>59</v>
      </c>
      <c r="B25" s="49">
        <f>+SUM('Breakdown '!B20:D20)</f>
        <v>0</v>
      </c>
      <c r="C25" s="49">
        <f>+SUM('Breakdown '!E20:G20)</f>
        <v>0</v>
      </c>
      <c r="D25" s="49">
        <f>+SUM('Breakdown '!H20:J20)</f>
        <v>0</v>
      </c>
      <c r="E25" s="49">
        <f>+SUM('Breakdown '!K20:M20)</f>
        <v>0</v>
      </c>
      <c r="F25" s="59">
        <f t="shared" si="2"/>
        <v>0</v>
      </c>
      <c r="G25" s="96">
        <f t="shared" si="5"/>
        <v>0</v>
      </c>
      <c r="H25" s="97">
        <f t="shared" si="4"/>
        <v>46350</v>
      </c>
      <c r="I25" s="98">
        <f t="shared" si="3"/>
        <v>48</v>
      </c>
      <c r="J25" s="99"/>
      <c r="K25" s="100"/>
      <c r="L25" s="100"/>
      <c r="M25" s="101"/>
      <c r="N25" s="101"/>
      <c r="O25" s="101"/>
      <c r="P25" s="101"/>
      <c r="Q25" s="101"/>
      <c r="R25" s="102"/>
      <c r="S25" s="103"/>
    </row>
    <row r="26" spans="1:19" x14ac:dyDescent="0.25">
      <c r="A26" s="147" t="s">
        <v>60</v>
      </c>
      <c r="B26" s="49">
        <f>+SUM('Breakdown '!B21:D21)</f>
        <v>0</v>
      </c>
      <c r="C26" s="49">
        <f>+SUM('Breakdown '!E21:G21)</f>
        <v>0</v>
      </c>
      <c r="D26" s="49">
        <f>+SUM('Breakdown '!H21:J21)</f>
        <v>0</v>
      </c>
      <c r="E26" s="49">
        <f>+SUM('Breakdown '!K21:M21)</f>
        <v>0</v>
      </c>
      <c r="F26" s="58">
        <f t="shared" si="2"/>
        <v>0</v>
      </c>
      <c r="G26" s="96">
        <f t="shared" si="5"/>
        <v>0</v>
      </c>
      <c r="H26" s="97">
        <f t="shared" si="4"/>
        <v>46357</v>
      </c>
      <c r="I26" s="98">
        <f t="shared" si="3"/>
        <v>49</v>
      </c>
      <c r="J26" s="99"/>
      <c r="K26" s="100"/>
      <c r="L26" s="100"/>
      <c r="M26" s="101"/>
      <c r="N26" s="101"/>
      <c r="O26" s="101"/>
      <c r="P26" s="101"/>
      <c r="Q26" s="101"/>
      <c r="R26" s="102"/>
      <c r="S26" s="103"/>
    </row>
    <row r="27" spans="1:19" x14ac:dyDescent="0.25">
      <c r="A27" s="147" t="s">
        <v>61</v>
      </c>
      <c r="B27" s="49">
        <f>+SUM('Breakdown '!B22:D22)</f>
        <v>0</v>
      </c>
      <c r="C27" s="137">
        <f>+SUM('Breakdown '!E22:G22)</f>
        <v>0</v>
      </c>
      <c r="D27" s="49">
        <f>+SUM('Breakdown '!H22:J22)</f>
        <v>0</v>
      </c>
      <c r="E27" s="49">
        <f>+SUM('Breakdown '!K22:M22)</f>
        <v>0</v>
      </c>
      <c r="F27" s="59">
        <f t="shared" si="2"/>
        <v>0</v>
      </c>
      <c r="G27" s="96">
        <f t="shared" si="5"/>
        <v>0</v>
      </c>
      <c r="H27" s="97">
        <f t="shared" si="4"/>
        <v>46364</v>
      </c>
      <c r="I27" s="98">
        <f t="shared" si="3"/>
        <v>50</v>
      </c>
      <c r="J27" s="99"/>
      <c r="K27" s="100"/>
      <c r="L27" s="100"/>
      <c r="M27" s="101"/>
      <c r="N27" s="101"/>
      <c r="O27" s="101"/>
      <c r="P27" s="101"/>
      <c r="Q27" s="101"/>
      <c r="R27" s="102"/>
      <c r="S27" s="103"/>
    </row>
    <row r="28" spans="1:19" x14ac:dyDescent="0.25">
      <c r="A28" s="147" t="s">
        <v>62</v>
      </c>
      <c r="B28" s="137">
        <f>+SUM('Breakdown '!B23:D23)</f>
        <v>0</v>
      </c>
      <c r="C28" s="137">
        <f>+SUM('Breakdown '!E23:G23)</f>
        <v>0</v>
      </c>
      <c r="D28" s="49">
        <f>+SUM('Breakdown '!H23:J23)</f>
        <v>0</v>
      </c>
      <c r="E28" s="49">
        <f>+SUM('Breakdown '!K23:M23)</f>
        <v>0</v>
      </c>
      <c r="F28" s="59">
        <f t="shared" si="2"/>
        <v>0</v>
      </c>
      <c r="G28" s="96">
        <f t="shared" si="5"/>
        <v>0</v>
      </c>
      <c r="H28" s="97">
        <f t="shared" si="4"/>
        <v>46371</v>
      </c>
      <c r="I28" s="98">
        <f t="shared" si="3"/>
        <v>51</v>
      </c>
      <c r="J28" s="99"/>
      <c r="K28" s="100"/>
      <c r="L28" s="100"/>
      <c r="M28" s="101"/>
      <c r="N28" s="101"/>
      <c r="O28" s="101"/>
      <c r="P28" s="101"/>
      <c r="Q28" s="101"/>
      <c r="R28" s="102"/>
      <c r="S28" s="103"/>
    </row>
    <row r="29" spans="1:19" x14ac:dyDescent="0.25">
      <c r="A29" s="147" t="s">
        <v>63</v>
      </c>
      <c r="B29" s="137">
        <f>+SUM('Breakdown '!B24:D24)</f>
        <v>0</v>
      </c>
      <c r="C29" s="137">
        <f>+SUM('Breakdown '!E24:G24)</f>
        <v>0</v>
      </c>
      <c r="D29" s="49">
        <f>+SUM('Breakdown '!H24:J24)</f>
        <v>0</v>
      </c>
      <c r="E29" s="49">
        <f>+SUM('Breakdown '!K24:M24)</f>
        <v>0</v>
      </c>
      <c r="F29" s="59">
        <f t="shared" si="2"/>
        <v>0</v>
      </c>
      <c r="G29" s="96">
        <f t="shared" si="5"/>
        <v>0</v>
      </c>
      <c r="H29" s="97">
        <f t="shared" si="4"/>
        <v>46378</v>
      </c>
      <c r="I29" s="98">
        <f t="shared" si="3"/>
        <v>52</v>
      </c>
      <c r="J29" s="99"/>
      <c r="K29" s="100"/>
      <c r="L29" s="100"/>
      <c r="M29" s="101"/>
      <c r="N29" s="101"/>
      <c r="O29" s="101"/>
      <c r="P29" s="101"/>
      <c r="Q29" s="101"/>
      <c r="R29" s="102"/>
      <c r="S29" s="103"/>
    </row>
    <row r="30" spans="1:19" x14ac:dyDescent="0.25">
      <c r="A30" s="147" t="s">
        <v>70</v>
      </c>
      <c r="B30" s="137">
        <f>+SUM('Breakdown '!B25:D25)</f>
        <v>0</v>
      </c>
      <c r="C30" s="137">
        <f>+SUM('Breakdown '!E25:G25)</f>
        <v>0</v>
      </c>
      <c r="D30" s="49">
        <f>+SUM('Breakdown '!H25:J25)</f>
        <v>0</v>
      </c>
      <c r="E30" s="49">
        <f>+SUM('Breakdown '!K25:M25)</f>
        <v>0</v>
      </c>
      <c r="F30" s="60">
        <f t="shared" si="2"/>
        <v>0</v>
      </c>
      <c r="G30" s="96">
        <f t="shared" si="5"/>
        <v>0</v>
      </c>
      <c r="H30" s="97">
        <f t="shared" si="4"/>
        <v>46385</v>
      </c>
      <c r="I30" s="98">
        <f t="shared" si="3"/>
        <v>53</v>
      </c>
      <c r="J30" s="99"/>
      <c r="K30" s="100"/>
      <c r="L30" s="100"/>
      <c r="M30" s="104"/>
      <c r="N30" s="101"/>
      <c r="O30" s="101"/>
      <c r="P30" s="101"/>
      <c r="Q30" s="101"/>
      <c r="R30" s="102"/>
      <c r="S30" s="103"/>
    </row>
    <row r="31" spans="1:19" x14ac:dyDescent="0.25">
      <c r="A31" s="148" t="s">
        <v>64</v>
      </c>
      <c r="B31" s="137">
        <f>+SUM('Breakdown '!B26:D26)</f>
        <v>0</v>
      </c>
      <c r="C31" s="137">
        <f>+SUM('Breakdown '!E26:G26)</f>
        <v>0</v>
      </c>
      <c r="D31" s="49">
        <f>+SUM('Breakdown '!H26:J26)</f>
        <v>0</v>
      </c>
      <c r="E31" s="49">
        <f>+SUM('Breakdown '!K26:M26)</f>
        <v>0</v>
      </c>
      <c r="F31" s="59">
        <f t="shared" si="2"/>
        <v>0</v>
      </c>
      <c r="G31" s="96">
        <f>F31+G30</f>
        <v>0</v>
      </c>
      <c r="H31" s="97">
        <f t="shared" si="4"/>
        <v>46392</v>
      </c>
      <c r="I31" s="98">
        <f t="shared" si="3"/>
        <v>1</v>
      </c>
      <c r="J31" s="99"/>
      <c r="K31" s="100"/>
      <c r="L31" s="100"/>
      <c r="M31" s="105"/>
      <c r="N31" s="106"/>
      <c r="O31" s="101"/>
      <c r="P31" s="101"/>
      <c r="Q31" s="101"/>
      <c r="R31" s="101"/>
      <c r="S31" s="103"/>
    </row>
    <row r="32" spans="1:19" x14ac:dyDescent="0.25">
      <c r="A32" s="147" t="s">
        <v>65</v>
      </c>
      <c r="B32" s="137">
        <f>+SUM('Breakdown '!B27:D27)</f>
        <v>0</v>
      </c>
      <c r="C32" s="137">
        <f>+SUM('Breakdown '!E27:G27)</f>
        <v>0</v>
      </c>
      <c r="D32" s="49">
        <f>+SUM('Breakdown '!H27:J27)</f>
        <v>0</v>
      </c>
      <c r="E32" s="49">
        <f>+SUM('Breakdown '!K27:M27)</f>
        <v>0</v>
      </c>
      <c r="F32" s="59">
        <f t="shared" si="2"/>
        <v>0</v>
      </c>
      <c r="G32" s="96">
        <f t="shared" ref="G32:G49" si="6">F32+G31</f>
        <v>0</v>
      </c>
      <c r="H32" s="97">
        <f t="shared" si="4"/>
        <v>46399</v>
      </c>
      <c r="I32" s="98">
        <f t="shared" si="3"/>
        <v>2</v>
      </c>
      <c r="J32" s="99"/>
      <c r="K32" s="100"/>
      <c r="L32" s="100"/>
      <c r="M32" s="107"/>
      <c r="N32" s="108"/>
      <c r="O32" s="101"/>
      <c r="P32" s="101"/>
      <c r="Q32" s="101"/>
      <c r="R32" s="102"/>
      <c r="S32" s="103"/>
    </row>
    <row r="33" spans="1:19" x14ac:dyDescent="0.25">
      <c r="A33" s="147" t="s">
        <v>66</v>
      </c>
      <c r="B33" s="137">
        <f>+SUM('Breakdown '!B28:D28)</f>
        <v>0</v>
      </c>
      <c r="C33" s="137">
        <f>+SUM('Breakdown '!E28:G28)</f>
        <v>0</v>
      </c>
      <c r="D33" s="49">
        <f>+SUM('Breakdown '!H28:J28)</f>
        <v>0</v>
      </c>
      <c r="E33" s="49">
        <f>+SUM('Breakdown '!K28:M28)</f>
        <v>0</v>
      </c>
      <c r="F33" s="60">
        <f t="shared" si="2"/>
        <v>0</v>
      </c>
      <c r="G33" s="96">
        <f>F33+G32</f>
        <v>0</v>
      </c>
      <c r="H33" s="97">
        <f t="shared" si="4"/>
        <v>46406</v>
      </c>
      <c r="I33" s="98">
        <f t="shared" si="3"/>
        <v>3</v>
      </c>
      <c r="J33" s="99"/>
      <c r="K33" s="100"/>
      <c r="L33" s="100"/>
      <c r="M33" s="107"/>
      <c r="N33" s="108"/>
      <c r="O33" s="101"/>
      <c r="P33" s="101"/>
      <c r="Q33" s="101"/>
      <c r="R33" s="102"/>
      <c r="S33" s="103"/>
    </row>
    <row r="34" spans="1:19" x14ac:dyDescent="0.25">
      <c r="A34" s="147" t="s">
        <v>67</v>
      </c>
      <c r="B34" s="137">
        <f>+SUM('Breakdown '!B29:D29)</f>
        <v>140.39999999999998</v>
      </c>
      <c r="C34" s="137">
        <f>+SUM('Breakdown '!E29:G29)</f>
        <v>0</v>
      </c>
      <c r="D34" s="49">
        <f>+SUM('Breakdown '!H29:J29)</f>
        <v>0</v>
      </c>
      <c r="E34" s="49">
        <f>+SUM('Breakdown '!K29:M29)</f>
        <v>0</v>
      </c>
      <c r="F34" s="59">
        <f t="shared" si="2"/>
        <v>140.39999999999998</v>
      </c>
      <c r="G34" s="96">
        <f t="shared" si="6"/>
        <v>140.39999999999998</v>
      </c>
      <c r="H34" s="97">
        <f t="shared" si="4"/>
        <v>46413</v>
      </c>
      <c r="I34" s="98">
        <f t="shared" si="3"/>
        <v>4</v>
      </c>
      <c r="J34" s="99"/>
      <c r="K34" s="100"/>
      <c r="L34" s="100"/>
      <c r="M34" s="107"/>
      <c r="N34" s="108"/>
      <c r="O34" s="101"/>
      <c r="P34" s="101"/>
      <c r="Q34" s="101"/>
      <c r="R34" s="102"/>
      <c r="S34" s="103"/>
    </row>
    <row r="35" spans="1:19" x14ac:dyDescent="0.25">
      <c r="A35" s="148" t="s">
        <v>68</v>
      </c>
      <c r="B35" s="137">
        <f>+SUM('Breakdown '!B30:D30)</f>
        <v>0</v>
      </c>
      <c r="C35" s="137">
        <f>+SUM('Breakdown '!E30:G30)</f>
        <v>0</v>
      </c>
      <c r="D35" s="49">
        <f>+SUM('Breakdown '!H30:J30)</f>
        <v>0</v>
      </c>
      <c r="E35" s="49">
        <f>+SUM('Breakdown '!K30:M30)</f>
        <v>0</v>
      </c>
      <c r="F35" s="59">
        <f t="shared" si="2"/>
        <v>0</v>
      </c>
      <c r="G35" s="96">
        <f t="shared" si="6"/>
        <v>140.39999999999998</v>
      </c>
      <c r="H35" s="97">
        <f t="shared" si="4"/>
        <v>46420</v>
      </c>
      <c r="I35" s="98">
        <f t="shared" si="3"/>
        <v>5</v>
      </c>
      <c r="J35" s="99"/>
      <c r="K35" s="100"/>
      <c r="L35" s="100"/>
      <c r="M35" s="107"/>
      <c r="N35" s="108"/>
      <c r="O35" s="101"/>
      <c r="P35" s="101"/>
      <c r="Q35" s="101"/>
      <c r="R35" s="102"/>
      <c r="S35" s="103"/>
    </row>
    <row r="36" spans="1:19" x14ac:dyDescent="0.25">
      <c r="A36" s="148" t="s">
        <v>69</v>
      </c>
      <c r="B36" s="137">
        <f>+SUM('Breakdown '!B31:D31)</f>
        <v>0</v>
      </c>
      <c r="C36" s="137">
        <f>+SUM('Breakdown '!E31:G31)</f>
        <v>0</v>
      </c>
      <c r="D36" s="49">
        <f>+SUM('Breakdown '!H31:J31)</f>
        <v>0</v>
      </c>
      <c r="E36" s="49">
        <f>+SUM('Breakdown '!K31:M31)</f>
        <v>0</v>
      </c>
      <c r="F36" s="60">
        <f t="shared" si="2"/>
        <v>0</v>
      </c>
      <c r="G36" s="96">
        <f t="shared" si="6"/>
        <v>140.39999999999998</v>
      </c>
      <c r="H36" s="97">
        <f t="shared" si="4"/>
        <v>46427</v>
      </c>
      <c r="I36" s="98">
        <f t="shared" si="3"/>
        <v>6</v>
      </c>
      <c r="J36" s="99"/>
      <c r="K36" s="100"/>
      <c r="L36" s="100"/>
      <c r="M36" s="107"/>
      <c r="N36" s="108"/>
      <c r="O36" s="101"/>
      <c r="P36" s="101"/>
      <c r="Q36" s="101"/>
      <c r="R36" s="102"/>
      <c r="S36" s="103"/>
    </row>
    <row r="37" spans="1:19" x14ac:dyDescent="0.25">
      <c r="A37" s="147" t="s">
        <v>71</v>
      </c>
      <c r="B37" s="137">
        <f>+SUM('Breakdown '!B32:D32)</f>
        <v>468</v>
      </c>
      <c r="C37" s="137">
        <f>+SUM('Breakdown '!E32:G32)</f>
        <v>0</v>
      </c>
      <c r="D37" s="49">
        <f>+SUM('Breakdown '!H32:J32)</f>
        <v>0</v>
      </c>
      <c r="E37" s="49">
        <f>+SUM('Breakdown '!K32:M32)</f>
        <v>0</v>
      </c>
      <c r="F37" s="59">
        <f t="shared" si="2"/>
        <v>468</v>
      </c>
      <c r="G37" s="96">
        <f t="shared" si="6"/>
        <v>608.4</v>
      </c>
      <c r="H37" s="97">
        <f t="shared" si="4"/>
        <v>46434</v>
      </c>
      <c r="I37" s="98">
        <f t="shared" si="3"/>
        <v>7</v>
      </c>
      <c r="J37" s="99"/>
      <c r="K37" s="100"/>
      <c r="L37" s="100"/>
      <c r="M37" s="107"/>
      <c r="N37" s="108"/>
      <c r="O37" s="101"/>
      <c r="P37" s="101"/>
      <c r="Q37" s="101"/>
      <c r="R37" s="102"/>
      <c r="S37" s="103"/>
    </row>
    <row r="38" spans="1:19" x14ac:dyDescent="0.25">
      <c r="A38" s="147" t="s">
        <v>72</v>
      </c>
      <c r="B38" s="137">
        <f>+SUM('Breakdown '!B33:D33)</f>
        <v>0</v>
      </c>
      <c r="C38" s="137">
        <f>+SUM('Breakdown '!E33:G33)</f>
        <v>514.79999999999995</v>
      </c>
      <c r="D38" s="49">
        <f>+SUM('Breakdown '!H33:J33)</f>
        <v>0</v>
      </c>
      <c r="E38" s="49">
        <f>+SUM('Breakdown '!K33:M33)</f>
        <v>0</v>
      </c>
      <c r="F38" s="59">
        <f t="shared" si="2"/>
        <v>514.79999999999995</v>
      </c>
      <c r="G38" s="96">
        <f t="shared" si="6"/>
        <v>1123.1999999999998</v>
      </c>
      <c r="H38" s="97">
        <f t="shared" si="4"/>
        <v>46441</v>
      </c>
      <c r="I38" s="98">
        <f t="shared" si="3"/>
        <v>8</v>
      </c>
      <c r="J38" s="99"/>
      <c r="K38" s="100"/>
      <c r="L38" s="100"/>
      <c r="M38" s="107"/>
      <c r="N38" s="108"/>
      <c r="O38" s="101"/>
      <c r="P38" s="101"/>
      <c r="Q38" s="101"/>
      <c r="R38" s="102"/>
      <c r="S38" s="103"/>
    </row>
    <row r="39" spans="1:19" x14ac:dyDescent="0.25">
      <c r="A39" s="147" t="s">
        <v>73</v>
      </c>
      <c r="B39" s="137">
        <f>+SUM('Breakdown '!B34:D34)</f>
        <v>607.6</v>
      </c>
      <c r="C39" s="138">
        <f>+SUM('Breakdown '!E34:G34)</f>
        <v>0</v>
      </c>
      <c r="D39" s="49">
        <f>+SUM('Breakdown '!H34:J34)</f>
        <v>0</v>
      </c>
      <c r="E39" s="49">
        <f>+SUM('Breakdown '!K34:M34)</f>
        <v>0</v>
      </c>
      <c r="F39" s="59">
        <f t="shared" si="2"/>
        <v>607.6</v>
      </c>
      <c r="G39" s="96">
        <f t="shared" si="6"/>
        <v>1730.7999999999997</v>
      </c>
      <c r="H39" s="97">
        <f t="shared" si="4"/>
        <v>46448</v>
      </c>
      <c r="I39" s="98">
        <f t="shared" si="3"/>
        <v>9</v>
      </c>
      <c r="J39" s="99"/>
      <c r="K39" s="100"/>
      <c r="L39" s="100"/>
      <c r="M39" s="107"/>
      <c r="N39" s="108"/>
      <c r="O39" s="101"/>
      <c r="P39" s="101"/>
      <c r="Q39" s="101"/>
      <c r="R39" s="102"/>
      <c r="S39" s="103"/>
    </row>
    <row r="40" spans="1:19" x14ac:dyDescent="0.25">
      <c r="A40" s="147" t="s">
        <v>74</v>
      </c>
      <c r="B40" s="137">
        <f>+SUM('Breakdown '!B35:D35)</f>
        <v>0</v>
      </c>
      <c r="C40" s="137">
        <f>+SUM('Breakdown '!E35:G35)</f>
        <v>936</v>
      </c>
      <c r="D40" s="49">
        <f>+SUM('Breakdown '!H35:J35)</f>
        <v>0</v>
      </c>
      <c r="E40" s="49">
        <f>+SUM('Breakdown '!K35:M35)</f>
        <v>0</v>
      </c>
      <c r="F40" s="59">
        <f t="shared" si="2"/>
        <v>936</v>
      </c>
      <c r="G40" s="96">
        <f t="shared" si="6"/>
        <v>2666.7999999999997</v>
      </c>
      <c r="H40" s="97">
        <f t="shared" si="4"/>
        <v>46455</v>
      </c>
      <c r="I40" s="98">
        <f t="shared" si="3"/>
        <v>10</v>
      </c>
      <c r="J40" s="99"/>
      <c r="K40" s="100"/>
      <c r="L40" s="100"/>
      <c r="M40" s="107"/>
      <c r="N40" s="108"/>
      <c r="O40" s="101"/>
      <c r="P40" s="101"/>
      <c r="Q40" s="101"/>
      <c r="R40" s="102"/>
      <c r="S40" s="103"/>
    </row>
    <row r="41" spans="1:19" x14ac:dyDescent="0.25">
      <c r="A41" s="147" t="s">
        <v>75</v>
      </c>
      <c r="B41" s="137">
        <f>+SUM('Breakdown '!B36:D36)</f>
        <v>0</v>
      </c>
      <c r="C41" s="137">
        <f>+SUM('Breakdown '!E36:G36)</f>
        <v>0</v>
      </c>
      <c r="D41" s="49">
        <f>+SUM('Breakdown '!H36:J36)</f>
        <v>468</v>
      </c>
      <c r="E41" s="49">
        <f>+SUM('Breakdown '!K36:M36)</f>
        <v>468</v>
      </c>
      <c r="F41" s="59">
        <f t="shared" si="2"/>
        <v>936</v>
      </c>
      <c r="G41" s="96">
        <f t="shared" si="6"/>
        <v>3602.7999999999997</v>
      </c>
      <c r="H41" s="97">
        <f t="shared" si="4"/>
        <v>46462</v>
      </c>
      <c r="I41" s="98">
        <f t="shared" si="3"/>
        <v>11</v>
      </c>
      <c r="J41" s="99"/>
      <c r="K41" s="100"/>
      <c r="L41" s="100"/>
      <c r="M41" s="107"/>
      <c r="N41" s="108"/>
      <c r="O41" s="101"/>
      <c r="P41" s="101"/>
      <c r="Q41" s="101"/>
      <c r="R41" s="102"/>
      <c r="S41" s="103"/>
    </row>
    <row r="42" spans="1:19" x14ac:dyDescent="0.25">
      <c r="A42" s="147" t="s">
        <v>76</v>
      </c>
      <c r="B42" s="137">
        <f>+SUM('Breakdown '!B37:D37)</f>
        <v>0</v>
      </c>
      <c r="C42" s="137">
        <f>+SUM('Breakdown '!E37:G37)</f>
        <v>936</v>
      </c>
      <c r="D42" s="49">
        <f>+SUM('Breakdown '!H37:J37)</f>
        <v>0</v>
      </c>
      <c r="E42" s="49">
        <f>+SUM('Breakdown '!K37:M37)</f>
        <v>0</v>
      </c>
      <c r="F42" s="59">
        <f t="shared" si="2"/>
        <v>936</v>
      </c>
      <c r="G42" s="96">
        <f t="shared" si="6"/>
        <v>4538.7999999999993</v>
      </c>
      <c r="H42" s="97">
        <f t="shared" si="4"/>
        <v>46469</v>
      </c>
      <c r="I42" s="98">
        <f t="shared" si="3"/>
        <v>12</v>
      </c>
      <c r="J42" s="99"/>
      <c r="K42" s="100"/>
      <c r="L42" s="100"/>
      <c r="M42" s="107"/>
      <c r="N42" s="108"/>
      <c r="O42" s="101"/>
      <c r="P42" s="101"/>
      <c r="Q42" s="101"/>
      <c r="R42" s="102"/>
      <c r="S42" s="103"/>
    </row>
    <row r="43" spans="1:19" x14ac:dyDescent="0.25">
      <c r="A43" s="147" t="s">
        <v>77</v>
      </c>
      <c r="B43" s="137">
        <f>+SUM('Breakdown '!B38:D38)</f>
        <v>0</v>
      </c>
      <c r="C43" s="137">
        <f>+SUM('Breakdown '!E38:G38)</f>
        <v>0</v>
      </c>
      <c r="D43" s="49">
        <f>+SUM('Breakdown '!H38:J38)</f>
        <v>468</v>
      </c>
      <c r="E43" s="49">
        <f>+SUM('Breakdown '!K38:M38)</f>
        <v>468</v>
      </c>
      <c r="F43" s="59">
        <f t="shared" si="2"/>
        <v>936</v>
      </c>
      <c r="G43" s="96">
        <f t="shared" si="6"/>
        <v>5474.7999999999993</v>
      </c>
      <c r="H43" s="97">
        <f t="shared" si="4"/>
        <v>46476</v>
      </c>
      <c r="I43" s="98">
        <f t="shared" si="3"/>
        <v>13</v>
      </c>
      <c r="J43" s="99"/>
      <c r="K43" s="100"/>
      <c r="L43" s="100"/>
      <c r="M43" s="107"/>
      <c r="N43" s="108"/>
      <c r="O43" s="101"/>
      <c r="P43" s="101"/>
      <c r="Q43" s="101"/>
      <c r="R43" s="102"/>
      <c r="S43" s="103"/>
    </row>
    <row r="44" spans="1:19" x14ac:dyDescent="0.25">
      <c r="A44" s="147" t="s">
        <v>78</v>
      </c>
      <c r="B44" s="137">
        <f>+SUM('Breakdown '!B39:D39)</f>
        <v>0</v>
      </c>
      <c r="C44" s="137">
        <f>+SUM('Breakdown '!E39:G39)</f>
        <v>936</v>
      </c>
      <c r="D44" s="49">
        <f>+SUM('Breakdown '!H39:J39)</f>
        <v>0</v>
      </c>
      <c r="E44" s="49">
        <f>+SUM('Breakdown '!K39:M39)</f>
        <v>0</v>
      </c>
      <c r="F44" s="59">
        <f t="shared" si="2"/>
        <v>936</v>
      </c>
      <c r="G44" s="96">
        <f t="shared" si="6"/>
        <v>6410.7999999999993</v>
      </c>
      <c r="H44" s="97">
        <f t="shared" si="4"/>
        <v>46483</v>
      </c>
      <c r="I44" s="98">
        <f t="shared" si="3"/>
        <v>14</v>
      </c>
      <c r="J44" s="99"/>
      <c r="K44" s="100"/>
      <c r="L44" s="100"/>
      <c r="M44" s="107"/>
      <c r="N44" s="108"/>
      <c r="O44" s="101"/>
      <c r="P44" s="101"/>
      <c r="Q44" s="101"/>
      <c r="R44" s="102"/>
      <c r="S44" s="103"/>
    </row>
    <row r="45" spans="1:19" x14ac:dyDescent="0.25">
      <c r="A45" s="147" t="s">
        <v>79</v>
      </c>
      <c r="B45" s="137">
        <f>+SUM('Breakdown '!B40:D40)</f>
        <v>0</v>
      </c>
      <c r="C45" s="137">
        <f>+SUM('Breakdown '!E40:G40)</f>
        <v>0</v>
      </c>
      <c r="D45" s="49">
        <f>+SUM('Breakdown '!H40:J40)</f>
        <v>468</v>
      </c>
      <c r="E45" s="49">
        <f>+SUM('Breakdown '!K40:M40)</f>
        <v>468</v>
      </c>
      <c r="F45" s="60">
        <f t="shared" si="2"/>
        <v>936</v>
      </c>
      <c r="G45" s="96">
        <f t="shared" si="6"/>
        <v>7346.7999999999993</v>
      </c>
      <c r="H45" s="97">
        <f t="shared" si="4"/>
        <v>46490</v>
      </c>
      <c r="I45" s="98">
        <f t="shared" si="3"/>
        <v>15</v>
      </c>
      <c r="J45" s="99"/>
      <c r="K45" s="100"/>
      <c r="L45" s="100"/>
      <c r="M45" s="107"/>
      <c r="N45" s="108"/>
      <c r="O45" s="101"/>
      <c r="P45" s="101"/>
      <c r="Q45" s="101"/>
      <c r="R45" s="102"/>
      <c r="S45" s="103"/>
    </row>
    <row r="46" spans="1:19" x14ac:dyDescent="0.25">
      <c r="A46" s="147" t="s">
        <v>80</v>
      </c>
      <c r="B46" s="137">
        <f>+SUM('Breakdown '!B41:D41)</f>
        <v>0</v>
      </c>
      <c r="C46" s="137">
        <f>+SUM('Breakdown '!E41:G41)</f>
        <v>936</v>
      </c>
      <c r="D46" s="49">
        <f>+SUM('Breakdown '!H41:J41)</f>
        <v>0</v>
      </c>
      <c r="E46" s="49">
        <f>+SUM('Breakdown '!K41:M41)</f>
        <v>0</v>
      </c>
      <c r="F46" s="59">
        <f t="shared" si="2"/>
        <v>936</v>
      </c>
      <c r="G46" s="96">
        <f t="shared" si="6"/>
        <v>8282.7999999999993</v>
      </c>
      <c r="H46" s="97">
        <f t="shared" si="4"/>
        <v>46497</v>
      </c>
      <c r="I46" s="98">
        <f t="shared" si="3"/>
        <v>16</v>
      </c>
      <c r="J46" s="99"/>
      <c r="K46" s="100"/>
      <c r="L46" s="100"/>
      <c r="M46" s="107"/>
      <c r="N46" s="108"/>
      <c r="O46" s="101"/>
      <c r="P46" s="101"/>
      <c r="Q46" s="101"/>
      <c r="R46" s="102"/>
      <c r="S46" s="103"/>
    </row>
    <row r="47" spans="1:19" x14ac:dyDescent="0.25">
      <c r="A47" s="147" t="s">
        <v>81</v>
      </c>
      <c r="B47" s="137">
        <f>+SUM('Breakdown '!B42:D42)</f>
        <v>0</v>
      </c>
      <c r="C47" s="137">
        <f>+SUM('Breakdown '!E42:G42)</f>
        <v>0</v>
      </c>
      <c r="D47" s="50">
        <f>+SUM('Breakdown '!H42:J42)</f>
        <v>468</v>
      </c>
      <c r="E47" s="49">
        <f>+SUM('Breakdown '!K42:M42)</f>
        <v>468</v>
      </c>
      <c r="F47" s="59">
        <f t="shared" si="2"/>
        <v>936</v>
      </c>
      <c r="G47" s="96">
        <f t="shared" si="6"/>
        <v>9218.7999999999993</v>
      </c>
      <c r="H47" s="97">
        <f t="shared" si="4"/>
        <v>46504</v>
      </c>
      <c r="I47" s="98">
        <f t="shared" si="3"/>
        <v>17</v>
      </c>
      <c r="J47" s="99"/>
      <c r="K47" s="100"/>
      <c r="L47" s="100"/>
      <c r="M47" s="107"/>
      <c r="N47" s="108"/>
      <c r="O47" s="101"/>
      <c r="P47" s="101"/>
      <c r="Q47" s="101"/>
      <c r="R47" s="102"/>
      <c r="S47" s="103"/>
    </row>
    <row r="48" spans="1:19" x14ac:dyDescent="0.25">
      <c r="A48" s="148" t="s">
        <v>82</v>
      </c>
      <c r="B48" s="137">
        <f>+SUM('Breakdown '!B43:D43)</f>
        <v>0</v>
      </c>
      <c r="C48" s="137">
        <f>+SUM('Breakdown '!E43:G43)</f>
        <v>0</v>
      </c>
      <c r="D48" s="50">
        <f>+SUM('Breakdown '!H43:J43)</f>
        <v>0</v>
      </c>
      <c r="E48" s="49">
        <f>+SUM('Breakdown '!K43:M43)</f>
        <v>0</v>
      </c>
      <c r="F48" s="59">
        <f t="shared" si="2"/>
        <v>0</v>
      </c>
      <c r="G48" s="96">
        <f t="shared" si="6"/>
        <v>9218.7999999999993</v>
      </c>
      <c r="H48" s="97">
        <f t="shared" si="4"/>
        <v>46511</v>
      </c>
      <c r="I48" s="98">
        <f t="shared" si="3"/>
        <v>18</v>
      </c>
      <c r="J48" s="99"/>
      <c r="K48" s="100"/>
      <c r="L48" s="100"/>
      <c r="M48" s="107"/>
      <c r="N48" s="108"/>
      <c r="O48" s="101"/>
      <c r="P48" s="101"/>
      <c r="Q48" s="101"/>
      <c r="R48" s="102"/>
      <c r="S48" s="103"/>
    </row>
    <row r="49" spans="1:19" x14ac:dyDescent="0.25">
      <c r="A49" s="147" t="s">
        <v>83</v>
      </c>
      <c r="B49" s="137">
        <f>+SUM('Breakdown '!B44:D44)</f>
        <v>0</v>
      </c>
      <c r="C49" s="137">
        <f>+SUM('Breakdown '!E44:G44)</f>
        <v>0</v>
      </c>
      <c r="D49" s="50">
        <f>+SUM('Breakdown '!H44:J44)</f>
        <v>374.4</v>
      </c>
      <c r="E49" s="49">
        <f>+SUM('Breakdown '!K44:M44)</f>
        <v>561.59999999999991</v>
      </c>
      <c r="F49" s="60">
        <f t="shared" si="2"/>
        <v>935.99999999999989</v>
      </c>
      <c r="G49" s="96">
        <f t="shared" si="6"/>
        <v>10154.799999999999</v>
      </c>
      <c r="H49" s="97">
        <f t="shared" si="4"/>
        <v>46518</v>
      </c>
      <c r="I49" s="98">
        <f t="shared" si="3"/>
        <v>19</v>
      </c>
      <c r="J49" s="99"/>
      <c r="K49" s="100"/>
      <c r="L49" s="100"/>
      <c r="M49" s="107"/>
      <c r="N49" s="108"/>
      <c r="O49" s="101"/>
      <c r="P49" s="101"/>
      <c r="Q49" s="101"/>
      <c r="R49" s="102"/>
      <c r="S49" s="103"/>
    </row>
    <row r="50" spans="1:19" x14ac:dyDescent="0.25">
      <c r="A50" s="147" t="s">
        <v>84</v>
      </c>
      <c r="B50" s="50">
        <f>+SUM('Breakdown '!B45:D45)</f>
        <v>0</v>
      </c>
      <c r="C50" s="137">
        <f>+SUM('Breakdown '!E45:G45)</f>
        <v>936</v>
      </c>
      <c r="D50" s="50">
        <f>+SUM('Breakdown '!H45:J45)</f>
        <v>0</v>
      </c>
      <c r="E50" s="49">
        <f>+SUM('Breakdown '!K45:M45)</f>
        <v>0</v>
      </c>
      <c r="F50" s="59">
        <f t="shared" si="2"/>
        <v>936</v>
      </c>
      <c r="G50" s="96">
        <f t="shared" ref="G50:G90" si="7">F50+G49</f>
        <v>11090.8</v>
      </c>
      <c r="H50" s="97">
        <f t="shared" si="4"/>
        <v>46525</v>
      </c>
      <c r="I50" s="98">
        <f t="shared" si="3"/>
        <v>20</v>
      </c>
      <c r="J50" s="99"/>
      <c r="K50" s="100"/>
      <c r="L50" s="100"/>
      <c r="M50" s="107"/>
      <c r="N50" s="108"/>
      <c r="O50" s="101"/>
      <c r="P50" s="101"/>
      <c r="Q50" s="101"/>
      <c r="R50" s="102"/>
      <c r="S50" s="103"/>
    </row>
    <row r="51" spans="1:19" x14ac:dyDescent="0.25">
      <c r="A51" s="147" t="s">
        <v>85</v>
      </c>
      <c r="B51" s="50">
        <f>+SUM('Breakdown '!B46:D46)</f>
        <v>0</v>
      </c>
      <c r="C51" s="137">
        <f>+SUM('Breakdown '!E46:G46)</f>
        <v>0</v>
      </c>
      <c r="D51" s="50">
        <f>+SUM('Breakdown '!H46:J46)</f>
        <v>0</v>
      </c>
      <c r="E51" s="50">
        <f>+SUM('Breakdown '!K46:M46)</f>
        <v>936</v>
      </c>
      <c r="F51" s="59">
        <f t="shared" ref="F51:F82" si="8">SUM(B51:E51)</f>
        <v>936</v>
      </c>
      <c r="G51" s="96">
        <f t="shared" si="7"/>
        <v>12026.8</v>
      </c>
      <c r="H51" s="97">
        <f>H50+7</f>
        <v>46532</v>
      </c>
      <c r="I51" s="98">
        <f t="shared" si="3"/>
        <v>21</v>
      </c>
      <c r="J51" s="99"/>
      <c r="K51" s="100"/>
      <c r="L51" s="100"/>
      <c r="M51" s="107"/>
      <c r="N51" s="108"/>
      <c r="O51" s="101"/>
      <c r="P51" s="101"/>
      <c r="Q51" s="101"/>
      <c r="R51" s="102"/>
      <c r="S51" s="103"/>
    </row>
    <row r="52" spans="1:19" x14ac:dyDescent="0.25">
      <c r="A52" s="147" t="s">
        <v>86</v>
      </c>
      <c r="B52" s="50">
        <f>+SUM('Breakdown '!B47:D47)</f>
        <v>0</v>
      </c>
      <c r="C52" s="137">
        <f>+SUM('Breakdown '!E47:G47)</f>
        <v>702</v>
      </c>
      <c r="D52" s="50">
        <f>+SUM('Breakdown '!H47:J47)</f>
        <v>234</v>
      </c>
      <c r="E52" s="50">
        <f>+SUM('Breakdown '!K47:M47)</f>
        <v>0</v>
      </c>
      <c r="F52" s="60">
        <f t="shared" si="8"/>
        <v>936</v>
      </c>
      <c r="G52" s="96">
        <f t="shared" si="7"/>
        <v>12962.8</v>
      </c>
      <c r="H52" s="97">
        <v>45831</v>
      </c>
      <c r="I52" s="98">
        <f t="shared" ref="I52" si="9">_xlfn.ISOWEEKNUM(H52)</f>
        <v>26</v>
      </c>
      <c r="J52" s="99"/>
      <c r="K52" s="100"/>
      <c r="L52" s="100"/>
      <c r="M52" s="107"/>
      <c r="N52" s="108"/>
      <c r="O52" s="101"/>
      <c r="P52" s="101"/>
      <c r="Q52" s="101"/>
      <c r="R52" s="102"/>
      <c r="S52" s="103"/>
    </row>
    <row r="53" spans="1:19" x14ac:dyDescent="0.25">
      <c r="A53" s="147" t="s">
        <v>87</v>
      </c>
      <c r="B53" s="137">
        <f>+SUM('Breakdown '!B48:D48)</f>
        <v>0</v>
      </c>
      <c r="C53" s="137">
        <f>+SUM('Breakdown '!E48:G48)</f>
        <v>0</v>
      </c>
      <c r="D53" s="50">
        <f>+SUM('Breakdown '!H48:J48)</f>
        <v>327.60000000000002</v>
      </c>
      <c r="E53" s="50">
        <f>+SUM('Breakdown '!K48:M48)</f>
        <v>608.40000000000009</v>
      </c>
      <c r="F53" s="60">
        <f t="shared" si="8"/>
        <v>936.00000000000011</v>
      </c>
      <c r="G53" s="96">
        <f t="shared" si="7"/>
        <v>13898.8</v>
      </c>
      <c r="H53" s="97">
        <f>H51+7</f>
        <v>46539</v>
      </c>
      <c r="I53" s="98">
        <f t="shared" si="3"/>
        <v>22</v>
      </c>
      <c r="J53" s="99"/>
      <c r="K53" s="100"/>
      <c r="L53" s="100"/>
      <c r="M53" s="107"/>
      <c r="N53" s="108"/>
      <c r="O53" s="101"/>
      <c r="P53" s="101"/>
      <c r="Q53" s="101"/>
      <c r="R53" s="102"/>
      <c r="S53" s="103"/>
    </row>
    <row r="54" spans="1:19" x14ac:dyDescent="0.25">
      <c r="A54" s="147" t="s">
        <v>88</v>
      </c>
      <c r="B54" s="137">
        <f>+SUM('Breakdown '!B49:D49)</f>
        <v>0</v>
      </c>
      <c r="C54" s="137">
        <f>+SUM('Breakdown '!E49:G49)</f>
        <v>0</v>
      </c>
      <c r="D54" s="50">
        <f>+SUM('Breakdown '!H49:J49)</f>
        <v>0</v>
      </c>
      <c r="E54" s="50">
        <f>+SUM('Breakdown '!K49:M49)</f>
        <v>889.19999999999993</v>
      </c>
      <c r="F54" s="60">
        <f t="shared" si="8"/>
        <v>889.19999999999993</v>
      </c>
      <c r="G54" s="96">
        <f t="shared" si="7"/>
        <v>14788</v>
      </c>
      <c r="H54" s="97">
        <f t="shared" si="4"/>
        <v>46546</v>
      </c>
      <c r="I54" s="98">
        <f t="shared" si="3"/>
        <v>23</v>
      </c>
      <c r="J54" s="99"/>
      <c r="K54" s="100"/>
      <c r="L54" s="100"/>
      <c r="M54" s="107"/>
      <c r="N54" s="108"/>
      <c r="O54" s="101"/>
      <c r="P54" s="101"/>
      <c r="Q54" s="101"/>
      <c r="R54" s="102"/>
      <c r="S54" s="103"/>
    </row>
    <row r="55" spans="1:19" x14ac:dyDescent="0.25">
      <c r="A55" s="147" t="s">
        <v>89</v>
      </c>
      <c r="B55" s="137">
        <f>+SUM('Breakdown '!B50:D50)</f>
        <v>0</v>
      </c>
      <c r="C55" s="137">
        <f>+SUM('Breakdown '!E50:G50)</f>
        <v>0</v>
      </c>
      <c r="D55" s="49">
        <f>+SUM('Breakdown '!H50:J50)</f>
        <v>0</v>
      </c>
      <c r="E55" s="49">
        <f>+SUM('Breakdown '!K50:M50)</f>
        <v>0</v>
      </c>
      <c r="F55" s="59">
        <f t="shared" si="8"/>
        <v>0</v>
      </c>
      <c r="G55" s="96">
        <f t="shared" si="7"/>
        <v>14788</v>
      </c>
      <c r="H55" s="97">
        <f t="shared" si="4"/>
        <v>46553</v>
      </c>
      <c r="I55" s="98">
        <f t="shared" si="3"/>
        <v>24</v>
      </c>
      <c r="J55" s="99"/>
      <c r="K55" s="100"/>
      <c r="L55" s="100"/>
      <c r="M55" s="107"/>
      <c r="N55" s="108"/>
      <c r="O55" s="101"/>
      <c r="P55" s="101"/>
      <c r="Q55" s="101"/>
      <c r="R55" s="102"/>
      <c r="S55" s="103"/>
    </row>
    <row r="56" spans="1:19" x14ac:dyDescent="0.25">
      <c r="A56" s="147" t="s">
        <v>90</v>
      </c>
      <c r="B56" s="137">
        <f>+SUM('Breakdown '!B51:D51)</f>
        <v>0</v>
      </c>
      <c r="C56" s="137">
        <f>+SUM('Breakdown '!E51:G51)</f>
        <v>0</v>
      </c>
      <c r="D56" s="49">
        <f>+SUM('Breakdown '!H51:J51)</f>
        <v>0</v>
      </c>
      <c r="E56" s="49">
        <f>+SUM('Breakdown '!K51:M51)</f>
        <v>0</v>
      </c>
      <c r="F56" s="60">
        <f t="shared" si="8"/>
        <v>0</v>
      </c>
      <c r="G56" s="96">
        <f t="shared" si="7"/>
        <v>14788</v>
      </c>
      <c r="H56" s="97">
        <f t="shared" si="4"/>
        <v>46560</v>
      </c>
      <c r="I56" s="98">
        <f t="shared" si="3"/>
        <v>25</v>
      </c>
      <c r="J56" s="99"/>
      <c r="K56" s="100"/>
      <c r="L56" s="100"/>
      <c r="M56" s="107"/>
      <c r="N56" s="108"/>
      <c r="O56" s="101"/>
      <c r="P56" s="101"/>
      <c r="Q56" s="101"/>
      <c r="R56" s="102"/>
      <c r="S56" s="103"/>
    </row>
    <row r="57" spans="1:19" x14ac:dyDescent="0.25">
      <c r="A57" s="147" t="s">
        <v>91</v>
      </c>
      <c r="B57" s="137">
        <f>+SUM('Breakdown '!B52:D52)</f>
        <v>0</v>
      </c>
      <c r="C57" s="137">
        <f>+SUM('Breakdown '!E52:G52)</f>
        <v>0</v>
      </c>
      <c r="D57" s="49">
        <f>+SUM('Breakdown '!H52:J52)</f>
        <v>0</v>
      </c>
      <c r="E57" s="49">
        <f>+SUM('Breakdown '!K52:M52)</f>
        <v>0</v>
      </c>
      <c r="F57" s="59">
        <f t="shared" si="8"/>
        <v>0</v>
      </c>
      <c r="G57" s="96">
        <f t="shared" si="7"/>
        <v>14788</v>
      </c>
      <c r="H57" s="97">
        <f t="shared" si="4"/>
        <v>46567</v>
      </c>
      <c r="I57" s="98">
        <f t="shared" si="3"/>
        <v>26</v>
      </c>
      <c r="J57" s="99"/>
      <c r="K57" s="100"/>
      <c r="L57" s="100"/>
      <c r="M57" s="107"/>
      <c r="N57" s="108"/>
      <c r="O57" s="101"/>
      <c r="P57" s="101"/>
      <c r="Q57" s="101"/>
      <c r="R57" s="102"/>
      <c r="S57" s="103"/>
    </row>
    <row r="58" spans="1:19" x14ac:dyDescent="0.25">
      <c r="A58" s="147" t="s">
        <v>92</v>
      </c>
      <c r="B58" s="137">
        <f>+SUM('Breakdown '!B53:D53)</f>
        <v>0</v>
      </c>
      <c r="C58" s="137">
        <f>+SUM('Breakdown '!E53:G53)</f>
        <v>0</v>
      </c>
      <c r="D58" s="49">
        <f>+SUM('Breakdown '!H53:J53)</f>
        <v>0</v>
      </c>
      <c r="E58" s="49">
        <f>+SUM('Breakdown '!K53:M53)</f>
        <v>0</v>
      </c>
      <c r="F58" s="60">
        <f t="shared" si="8"/>
        <v>0</v>
      </c>
      <c r="G58" s="96">
        <f t="shared" si="7"/>
        <v>14788</v>
      </c>
      <c r="H58" s="97">
        <f t="shared" si="4"/>
        <v>46574</v>
      </c>
      <c r="I58" s="98">
        <f t="shared" si="3"/>
        <v>27</v>
      </c>
      <c r="J58" s="99"/>
      <c r="K58" s="100"/>
      <c r="L58" s="100"/>
      <c r="M58" s="107"/>
      <c r="N58" s="108"/>
      <c r="O58" s="101"/>
      <c r="P58" s="101"/>
      <c r="Q58" s="101"/>
      <c r="R58" s="102"/>
      <c r="S58" s="103"/>
    </row>
    <row r="59" spans="1:19" x14ac:dyDescent="0.25">
      <c r="A59" s="147" t="s">
        <v>93</v>
      </c>
      <c r="B59" s="137">
        <f>+SUM('Breakdown '!B54:D54)</f>
        <v>0</v>
      </c>
      <c r="C59" s="137">
        <f>+SUM('Breakdown '!E54:G54)</f>
        <v>0</v>
      </c>
      <c r="D59" s="49">
        <f>+SUM('Breakdown '!H54:J54)</f>
        <v>0</v>
      </c>
      <c r="E59" s="49">
        <f>+SUM('Breakdown '!K54:M54)</f>
        <v>0</v>
      </c>
      <c r="F59" s="59">
        <f t="shared" si="8"/>
        <v>0</v>
      </c>
      <c r="G59" s="96">
        <f t="shared" si="7"/>
        <v>14788</v>
      </c>
      <c r="H59" s="97">
        <f t="shared" si="4"/>
        <v>46581</v>
      </c>
      <c r="I59" s="98">
        <f t="shared" si="3"/>
        <v>28</v>
      </c>
      <c r="J59" s="99"/>
      <c r="K59" s="100"/>
      <c r="L59" s="100"/>
      <c r="M59" s="107"/>
      <c r="N59" s="108"/>
      <c r="O59" s="101"/>
      <c r="P59" s="101"/>
      <c r="Q59" s="101"/>
      <c r="R59" s="102"/>
      <c r="S59" s="103"/>
    </row>
    <row r="60" spans="1:19" x14ac:dyDescent="0.25">
      <c r="A60" s="147" t="s">
        <v>94</v>
      </c>
      <c r="B60" s="137">
        <f>+SUM('Breakdown '!B55:D55)</f>
        <v>0</v>
      </c>
      <c r="C60" s="137">
        <f>+SUM('Breakdown '!E55:G55)</f>
        <v>0</v>
      </c>
      <c r="D60" s="49">
        <f>+SUM('Breakdown '!H55:J55)</f>
        <v>0</v>
      </c>
      <c r="E60" s="49">
        <f>+SUM('Breakdown '!K55:M55)</f>
        <v>0</v>
      </c>
      <c r="F60" s="60">
        <f t="shared" si="8"/>
        <v>0</v>
      </c>
      <c r="G60" s="96">
        <f t="shared" si="7"/>
        <v>14788</v>
      </c>
      <c r="H60" s="97">
        <f t="shared" si="4"/>
        <v>46588</v>
      </c>
      <c r="I60" s="98">
        <f t="shared" si="3"/>
        <v>29</v>
      </c>
      <c r="J60" s="99"/>
      <c r="K60" s="100"/>
      <c r="L60" s="100"/>
      <c r="M60" s="107"/>
      <c r="N60" s="108"/>
      <c r="O60" s="101"/>
      <c r="P60" s="101"/>
      <c r="Q60" s="101"/>
      <c r="R60" s="102"/>
      <c r="S60" s="103"/>
    </row>
    <row r="61" spans="1:19" x14ac:dyDescent="0.25">
      <c r="A61" s="147" t="s">
        <v>95</v>
      </c>
      <c r="B61" s="137">
        <f>+SUM('Breakdown '!B56:D56)</f>
        <v>0</v>
      </c>
      <c r="C61" s="137">
        <f>+SUM('Breakdown '!E56:G56)</f>
        <v>0</v>
      </c>
      <c r="D61" s="49">
        <f>+SUM('Breakdown '!H56:J56)</f>
        <v>0</v>
      </c>
      <c r="E61" s="49">
        <f>+SUM('Breakdown '!K56:M56)</f>
        <v>0</v>
      </c>
      <c r="F61" s="60">
        <f t="shared" si="8"/>
        <v>0</v>
      </c>
      <c r="G61" s="96">
        <f t="shared" si="7"/>
        <v>14788</v>
      </c>
      <c r="H61" s="97">
        <f t="shared" si="4"/>
        <v>46595</v>
      </c>
      <c r="I61" s="98">
        <f t="shared" si="3"/>
        <v>30</v>
      </c>
      <c r="J61" s="99"/>
      <c r="K61" s="100"/>
      <c r="L61" s="100"/>
      <c r="M61" s="107"/>
      <c r="N61" s="108"/>
      <c r="O61" s="101"/>
      <c r="P61" s="101"/>
      <c r="Q61" s="101"/>
      <c r="R61" s="102"/>
      <c r="S61" s="103"/>
    </row>
    <row r="62" spans="1:19" x14ac:dyDescent="0.25">
      <c r="A62" s="147" t="s">
        <v>96</v>
      </c>
      <c r="B62" s="137">
        <f>+SUM('Breakdown '!B57:D57)</f>
        <v>0</v>
      </c>
      <c r="C62" s="137">
        <f>+SUM('Breakdown '!E57:G57)</f>
        <v>0</v>
      </c>
      <c r="D62" s="49">
        <f>+SUM('Breakdown '!H57:J57)</f>
        <v>0</v>
      </c>
      <c r="E62" s="49">
        <f>+SUM('Breakdown '!K57:M57)</f>
        <v>0</v>
      </c>
      <c r="F62" s="59">
        <f t="shared" si="8"/>
        <v>0</v>
      </c>
      <c r="G62" s="96">
        <f t="shared" si="7"/>
        <v>14788</v>
      </c>
      <c r="H62" s="97">
        <f t="shared" si="4"/>
        <v>46602</v>
      </c>
      <c r="I62" s="98">
        <f t="shared" si="3"/>
        <v>31</v>
      </c>
      <c r="J62" s="99"/>
      <c r="K62" s="100"/>
      <c r="L62" s="100"/>
      <c r="M62" s="107"/>
      <c r="N62" s="108"/>
      <c r="O62" s="101"/>
      <c r="P62" s="101"/>
      <c r="Q62" s="101"/>
      <c r="R62" s="102"/>
      <c r="S62" s="103"/>
    </row>
    <row r="63" spans="1:19" x14ac:dyDescent="0.25">
      <c r="A63" s="147" t="s">
        <v>97</v>
      </c>
      <c r="B63" s="137">
        <f>+SUM('Breakdown '!B58:D58)</f>
        <v>0</v>
      </c>
      <c r="C63" s="137">
        <f>+SUM('Breakdown '!E57:G57)</f>
        <v>0</v>
      </c>
      <c r="D63" s="49">
        <f>+SUM('Breakdown '!H58:J58)</f>
        <v>0</v>
      </c>
      <c r="E63" s="49">
        <f>+SUM('Breakdown '!K58:M58)</f>
        <v>0</v>
      </c>
      <c r="F63" s="60">
        <f t="shared" si="8"/>
        <v>0</v>
      </c>
      <c r="G63" s="96">
        <f t="shared" si="7"/>
        <v>14788</v>
      </c>
      <c r="H63" s="97">
        <f t="shared" si="4"/>
        <v>46609</v>
      </c>
      <c r="I63" s="98">
        <f t="shared" si="3"/>
        <v>32</v>
      </c>
      <c r="J63" s="99"/>
      <c r="K63" s="100"/>
      <c r="L63" s="100"/>
      <c r="M63" s="107"/>
      <c r="N63" s="108"/>
      <c r="O63" s="101"/>
      <c r="P63" s="101"/>
      <c r="Q63" s="101"/>
      <c r="R63" s="102"/>
      <c r="S63" s="103"/>
    </row>
    <row r="64" spans="1:19" x14ac:dyDescent="0.25">
      <c r="A64" s="147" t="s">
        <v>98</v>
      </c>
      <c r="B64" s="137">
        <f>+SUM('Breakdown '!B59:D59)</f>
        <v>0</v>
      </c>
      <c r="C64" s="137">
        <f>+SUM('Breakdown '!E58:G58)</f>
        <v>0</v>
      </c>
      <c r="D64" s="49">
        <f>+SUM('Breakdown '!H59:J59)</f>
        <v>0</v>
      </c>
      <c r="E64" s="49">
        <f>+SUM('Breakdown '!K59:M59)</f>
        <v>0</v>
      </c>
      <c r="F64" s="59">
        <f t="shared" si="8"/>
        <v>0</v>
      </c>
      <c r="G64" s="96">
        <f t="shared" si="7"/>
        <v>14788</v>
      </c>
      <c r="H64" s="97">
        <f t="shared" si="4"/>
        <v>46616</v>
      </c>
      <c r="I64" s="98">
        <f t="shared" si="3"/>
        <v>33</v>
      </c>
      <c r="J64" s="99"/>
      <c r="K64" s="100"/>
      <c r="L64" s="100"/>
      <c r="M64" s="107"/>
      <c r="N64" s="108"/>
      <c r="O64" s="101"/>
      <c r="P64" s="101"/>
      <c r="Q64" s="101"/>
      <c r="R64" s="102"/>
      <c r="S64" s="103"/>
    </row>
    <row r="65" spans="1:19" x14ac:dyDescent="0.25">
      <c r="A65" s="147" t="s">
        <v>99</v>
      </c>
      <c r="B65" s="137">
        <f>+SUM('Breakdown '!B60:D60)</f>
        <v>0</v>
      </c>
      <c r="C65" s="137">
        <f>+SUM('Breakdown '!E59:G59)</f>
        <v>0</v>
      </c>
      <c r="D65" s="49">
        <f>+SUM('Breakdown '!H60:J60)</f>
        <v>0</v>
      </c>
      <c r="E65" s="49">
        <f>+SUM('Breakdown '!K60:M60)</f>
        <v>0</v>
      </c>
      <c r="F65" s="60">
        <f t="shared" si="8"/>
        <v>0</v>
      </c>
      <c r="G65" s="96">
        <f t="shared" si="7"/>
        <v>14788</v>
      </c>
      <c r="H65" s="97">
        <f t="shared" si="4"/>
        <v>46623</v>
      </c>
      <c r="I65" s="98">
        <f t="shared" si="3"/>
        <v>34</v>
      </c>
      <c r="J65" s="99"/>
      <c r="K65" s="100"/>
      <c r="L65" s="100"/>
      <c r="M65" s="107"/>
      <c r="N65" s="108"/>
      <c r="O65" s="101"/>
      <c r="P65" s="101"/>
      <c r="Q65" s="101"/>
      <c r="R65" s="102"/>
      <c r="S65" s="103"/>
    </row>
    <row r="66" spans="1:19" x14ac:dyDescent="0.25">
      <c r="A66" s="147" t="s">
        <v>100</v>
      </c>
      <c r="B66" s="137">
        <f>+SUM('Breakdown '!B61:D61)</f>
        <v>0</v>
      </c>
      <c r="C66" s="137">
        <f>+SUM('Breakdown '!E60:G60)</f>
        <v>0</v>
      </c>
      <c r="D66" s="49">
        <f>+SUM('Breakdown '!H61:J61)</f>
        <v>0</v>
      </c>
      <c r="E66" s="49">
        <f>+SUM('Breakdown '!K61:M61)</f>
        <v>0</v>
      </c>
      <c r="F66" s="60">
        <f t="shared" si="8"/>
        <v>0</v>
      </c>
      <c r="G66" s="96">
        <f t="shared" si="7"/>
        <v>14788</v>
      </c>
      <c r="H66" s="97">
        <f t="shared" si="4"/>
        <v>46630</v>
      </c>
      <c r="I66" s="98">
        <f t="shared" si="3"/>
        <v>35</v>
      </c>
      <c r="J66" s="99"/>
      <c r="K66" s="100"/>
      <c r="L66" s="100"/>
      <c r="M66" s="104"/>
      <c r="N66" s="101"/>
      <c r="O66" s="101"/>
      <c r="P66" s="101"/>
      <c r="Q66" s="101"/>
      <c r="R66" s="102"/>
      <c r="S66" s="103"/>
    </row>
    <row r="67" spans="1:19" x14ac:dyDescent="0.25">
      <c r="A67" s="147" t="s">
        <v>101</v>
      </c>
      <c r="B67" s="137">
        <f>+SUM('Breakdown '!B62:D62)</f>
        <v>0</v>
      </c>
      <c r="C67" s="137">
        <f>+SUM('Breakdown '!E61:G61)</f>
        <v>0</v>
      </c>
      <c r="D67" s="49">
        <f>+SUM('Breakdown '!H62:J62)</f>
        <v>0</v>
      </c>
      <c r="E67" s="49">
        <f>+SUM('Breakdown '!K62:M62)</f>
        <v>0</v>
      </c>
      <c r="F67" s="60">
        <f t="shared" si="8"/>
        <v>0</v>
      </c>
      <c r="G67" s="96">
        <f t="shared" si="7"/>
        <v>14788</v>
      </c>
      <c r="H67" s="97">
        <f t="shared" si="4"/>
        <v>46637</v>
      </c>
      <c r="I67" s="98">
        <f t="shared" si="3"/>
        <v>36</v>
      </c>
      <c r="J67" s="99"/>
      <c r="K67" s="100"/>
      <c r="L67" s="100"/>
      <c r="M67" s="104"/>
      <c r="N67" s="101"/>
      <c r="O67" s="101"/>
      <c r="P67" s="101"/>
      <c r="Q67" s="101"/>
      <c r="R67" s="102"/>
      <c r="S67" s="103"/>
    </row>
    <row r="68" spans="1:19" x14ac:dyDescent="0.25">
      <c r="A68" s="147" t="s">
        <v>102</v>
      </c>
      <c r="B68" s="137">
        <f>+SUM('Breakdown '!B63:D63)</f>
        <v>0</v>
      </c>
      <c r="C68" s="137">
        <f>+SUM('Breakdown '!E62:G62)</f>
        <v>0</v>
      </c>
      <c r="D68" s="49">
        <f>+SUM('Breakdown '!H63:J63)</f>
        <v>0</v>
      </c>
      <c r="E68" s="49">
        <f>+SUM('Breakdown '!K62:M62)</f>
        <v>0</v>
      </c>
      <c r="F68" s="60">
        <f t="shared" si="8"/>
        <v>0</v>
      </c>
      <c r="G68" s="96">
        <f t="shared" si="7"/>
        <v>14788</v>
      </c>
      <c r="H68" s="97">
        <f t="shared" si="4"/>
        <v>46644</v>
      </c>
      <c r="I68" s="98">
        <f t="shared" si="3"/>
        <v>37</v>
      </c>
      <c r="J68" s="99"/>
      <c r="K68" s="100"/>
      <c r="L68" s="100"/>
      <c r="M68" s="104"/>
      <c r="N68" s="101"/>
      <c r="O68" s="101"/>
      <c r="P68" s="101"/>
      <c r="Q68" s="101"/>
      <c r="R68" s="102"/>
      <c r="S68" s="103"/>
    </row>
    <row r="69" spans="1:19" x14ac:dyDescent="0.25">
      <c r="A69" s="147" t="s">
        <v>103</v>
      </c>
      <c r="B69" s="137">
        <f>+SUM('Breakdown '!B64:D64)</f>
        <v>0</v>
      </c>
      <c r="C69" s="137">
        <f>+SUM('Breakdown '!E63:G63)</f>
        <v>0</v>
      </c>
      <c r="D69" s="49">
        <f>+SUM('Breakdown '!H64:J64)</f>
        <v>0</v>
      </c>
      <c r="E69" s="49">
        <f>+SUM('Breakdown '!K63:M63)</f>
        <v>0</v>
      </c>
      <c r="F69" s="60">
        <f t="shared" si="8"/>
        <v>0</v>
      </c>
      <c r="G69" s="96">
        <f t="shared" si="7"/>
        <v>14788</v>
      </c>
      <c r="H69" s="97">
        <f t="shared" si="4"/>
        <v>46651</v>
      </c>
      <c r="I69" s="98">
        <f t="shared" si="3"/>
        <v>38</v>
      </c>
      <c r="J69" s="99"/>
      <c r="K69" s="100"/>
      <c r="L69" s="100"/>
      <c r="M69" s="104"/>
      <c r="N69" s="101"/>
      <c r="O69" s="101"/>
      <c r="P69" s="101"/>
      <c r="Q69" s="101"/>
      <c r="R69" s="102"/>
      <c r="S69" s="103"/>
    </row>
    <row r="70" spans="1:19" x14ac:dyDescent="0.25">
      <c r="A70" s="147" t="s">
        <v>104</v>
      </c>
      <c r="B70" s="137">
        <f>+SUM('Breakdown '!B65:D65)</f>
        <v>0</v>
      </c>
      <c r="C70" s="137">
        <f>+SUM('Breakdown '!E64:G64)</f>
        <v>0</v>
      </c>
      <c r="D70" s="49">
        <f>+SUM('Breakdown '!H65:J65)</f>
        <v>0</v>
      </c>
      <c r="E70" s="49">
        <f>+SUM('Breakdown '!K64:M64)</f>
        <v>0</v>
      </c>
      <c r="F70" s="60">
        <f t="shared" si="8"/>
        <v>0</v>
      </c>
      <c r="G70" s="96">
        <f t="shared" si="7"/>
        <v>14788</v>
      </c>
      <c r="H70" s="97">
        <f t="shared" si="4"/>
        <v>46658</v>
      </c>
      <c r="I70" s="98">
        <f t="shared" si="3"/>
        <v>39</v>
      </c>
      <c r="J70" s="99"/>
      <c r="K70" s="100"/>
      <c r="L70" s="100"/>
      <c r="M70" s="104"/>
      <c r="N70" s="101"/>
      <c r="O70" s="101"/>
      <c r="P70" s="101"/>
      <c r="Q70" s="101"/>
      <c r="R70" s="102"/>
      <c r="S70" s="103"/>
    </row>
    <row r="71" spans="1:19" x14ac:dyDescent="0.25">
      <c r="A71" s="147" t="s">
        <v>105</v>
      </c>
      <c r="B71" s="50">
        <f>+SUM('Breakdown '!B66:D66)</f>
        <v>0</v>
      </c>
      <c r="C71" s="137">
        <f>+SUM('Breakdown '!E65:G65)</f>
        <v>0</v>
      </c>
      <c r="D71" s="49">
        <f>+SUM('Breakdown '!H66:J66)</f>
        <v>0</v>
      </c>
      <c r="E71" s="49">
        <f>+SUM('Breakdown '!K65:M65)</f>
        <v>0</v>
      </c>
      <c r="F71" s="60">
        <f t="shared" si="8"/>
        <v>0</v>
      </c>
      <c r="G71" s="96">
        <f t="shared" si="7"/>
        <v>14788</v>
      </c>
      <c r="H71" s="97">
        <f t="shared" si="4"/>
        <v>46665</v>
      </c>
      <c r="I71" s="98">
        <f t="shared" si="3"/>
        <v>40</v>
      </c>
      <c r="J71" s="99"/>
      <c r="K71" s="100"/>
      <c r="L71" s="100"/>
      <c r="M71" s="101"/>
      <c r="N71" s="101"/>
      <c r="O71" s="101"/>
      <c r="P71" s="101"/>
      <c r="Q71" s="101"/>
      <c r="R71" s="102"/>
      <c r="S71" s="103"/>
    </row>
    <row r="72" spans="1:19" x14ac:dyDescent="0.25">
      <c r="A72" s="147" t="s">
        <v>106</v>
      </c>
      <c r="B72" s="50">
        <f>+SUM('Breakdown '!B67:D67)</f>
        <v>0</v>
      </c>
      <c r="C72" s="50">
        <f>+SUM('Breakdown '!E66:G66)</f>
        <v>0</v>
      </c>
      <c r="D72" s="49">
        <f>+SUM('Breakdown '!H67:J67)</f>
        <v>0</v>
      </c>
      <c r="E72" s="49">
        <f>+SUM('Breakdown '!K66:M66)</f>
        <v>0</v>
      </c>
      <c r="F72" s="59">
        <f t="shared" si="8"/>
        <v>0</v>
      </c>
      <c r="G72" s="96">
        <f t="shared" si="7"/>
        <v>14788</v>
      </c>
      <c r="H72" s="97">
        <f t="shared" si="4"/>
        <v>46672</v>
      </c>
      <c r="I72" s="98">
        <f t="shared" si="3"/>
        <v>41</v>
      </c>
      <c r="J72" s="99"/>
      <c r="K72" s="100"/>
      <c r="L72" s="100"/>
      <c r="M72" s="101"/>
      <c r="N72" s="101"/>
      <c r="O72" s="101"/>
      <c r="P72" s="101"/>
      <c r="Q72" s="101"/>
      <c r="R72" s="102"/>
      <c r="S72" s="103"/>
    </row>
    <row r="73" spans="1:19" x14ac:dyDescent="0.25">
      <c r="A73" s="147" t="s">
        <v>107</v>
      </c>
      <c r="B73" s="50">
        <f>+SUM('Breakdown '!B68:D68)</f>
        <v>0</v>
      </c>
      <c r="C73" s="50">
        <f>+SUM('Breakdown '!E67:G67)</f>
        <v>0</v>
      </c>
      <c r="D73" s="49">
        <f>+SUM('Breakdown '!H68:J68)</f>
        <v>0</v>
      </c>
      <c r="E73" s="49">
        <f>+SUM('Breakdown '!K67:M67)</f>
        <v>0</v>
      </c>
      <c r="F73" s="60">
        <f t="shared" si="8"/>
        <v>0</v>
      </c>
      <c r="G73" s="96">
        <f t="shared" si="7"/>
        <v>14788</v>
      </c>
      <c r="H73" s="97">
        <f t="shared" si="4"/>
        <v>46679</v>
      </c>
      <c r="I73" s="98">
        <f t="shared" si="3"/>
        <v>42</v>
      </c>
      <c r="J73" s="99"/>
      <c r="K73" s="100"/>
      <c r="L73" s="100"/>
      <c r="M73" s="101"/>
      <c r="N73" s="101"/>
      <c r="O73" s="101"/>
      <c r="P73" s="101"/>
      <c r="Q73" s="101"/>
      <c r="R73" s="102"/>
      <c r="S73" s="103"/>
    </row>
    <row r="74" spans="1:19" x14ac:dyDescent="0.25">
      <c r="A74" s="147" t="s">
        <v>108</v>
      </c>
      <c r="B74" s="50">
        <f>+SUM('Breakdown '!B69:D69)</f>
        <v>0</v>
      </c>
      <c r="C74" s="50">
        <f>+SUM('Breakdown '!E68:G68)</f>
        <v>0</v>
      </c>
      <c r="D74" s="49">
        <f>+SUM('Breakdown '!H69:J69)</f>
        <v>0</v>
      </c>
      <c r="E74" s="49">
        <f>+SUM('Breakdown '!K68:M68)</f>
        <v>0</v>
      </c>
      <c r="F74" s="60">
        <f t="shared" si="8"/>
        <v>0</v>
      </c>
      <c r="G74" s="96">
        <f t="shared" si="7"/>
        <v>14788</v>
      </c>
      <c r="H74" s="97">
        <f t="shared" si="4"/>
        <v>46686</v>
      </c>
      <c r="I74" s="98">
        <f t="shared" si="3"/>
        <v>43</v>
      </c>
      <c r="J74" s="99"/>
      <c r="K74" s="100"/>
      <c r="L74" s="100"/>
      <c r="M74" s="101"/>
      <c r="N74" s="101"/>
      <c r="O74" s="101"/>
      <c r="P74" s="101"/>
      <c r="Q74" s="101"/>
      <c r="R74" s="102"/>
      <c r="S74" s="103"/>
    </row>
    <row r="75" spans="1:19" x14ac:dyDescent="0.25">
      <c r="A75" s="147" t="s">
        <v>109</v>
      </c>
      <c r="B75" s="50">
        <f>+SUM('Breakdown '!B70:D70)</f>
        <v>0</v>
      </c>
      <c r="C75" s="50">
        <f>+SUM('Breakdown '!E69:G69)</f>
        <v>0</v>
      </c>
      <c r="D75" s="49">
        <f>+SUM('Breakdown '!H70:J70)</f>
        <v>0</v>
      </c>
      <c r="E75" s="49">
        <f>+SUM('Breakdown '!K69:M69)</f>
        <v>0</v>
      </c>
      <c r="F75" s="59">
        <f t="shared" si="8"/>
        <v>0</v>
      </c>
      <c r="G75" s="96">
        <f t="shared" si="7"/>
        <v>14788</v>
      </c>
      <c r="H75" s="97">
        <f t="shared" si="4"/>
        <v>46693</v>
      </c>
      <c r="I75" s="98">
        <f t="shared" si="3"/>
        <v>44</v>
      </c>
      <c r="J75" s="99"/>
      <c r="K75" s="100"/>
      <c r="L75" s="100"/>
      <c r="M75" s="101"/>
      <c r="N75" s="101"/>
      <c r="O75" s="101"/>
      <c r="P75" s="101"/>
      <c r="Q75" s="101"/>
      <c r="R75" s="102"/>
      <c r="S75" s="103"/>
    </row>
    <row r="76" spans="1:19" x14ac:dyDescent="0.25">
      <c r="A76" s="147" t="s">
        <v>110</v>
      </c>
      <c r="B76" s="50">
        <f>+SUM('Breakdown '!B71:D71)</f>
        <v>0</v>
      </c>
      <c r="C76" s="50">
        <f>+SUM('Breakdown '!E70:G70)</f>
        <v>0</v>
      </c>
      <c r="D76" s="49">
        <f>+SUM('Breakdown '!H71:J71)</f>
        <v>0</v>
      </c>
      <c r="E76" s="49">
        <f>+SUM('Breakdown '!K70:M70)</f>
        <v>0</v>
      </c>
      <c r="F76" s="59">
        <f t="shared" si="8"/>
        <v>0</v>
      </c>
      <c r="G76" s="96">
        <f t="shared" si="7"/>
        <v>14788</v>
      </c>
      <c r="H76" s="97">
        <f t="shared" si="4"/>
        <v>46700</v>
      </c>
      <c r="I76" s="98">
        <f t="shared" si="3"/>
        <v>45</v>
      </c>
      <c r="J76" s="99"/>
      <c r="K76" s="100"/>
      <c r="L76" s="100"/>
      <c r="M76" s="101"/>
      <c r="N76" s="101"/>
      <c r="O76" s="101"/>
      <c r="P76" s="101"/>
      <c r="Q76" s="101"/>
      <c r="R76" s="102"/>
      <c r="S76" s="103"/>
    </row>
    <row r="77" spans="1:19" x14ac:dyDescent="0.25">
      <c r="A77" s="147" t="s">
        <v>111</v>
      </c>
      <c r="B77" s="50">
        <f>+SUM('Breakdown '!B72:D72)</f>
        <v>0</v>
      </c>
      <c r="C77" s="50">
        <f>+SUM('Breakdown '!E71:G71)</f>
        <v>0</v>
      </c>
      <c r="D77" s="49">
        <f>+SUM('Breakdown '!H72:J72)</f>
        <v>0</v>
      </c>
      <c r="E77" s="49">
        <f>+SUM('Breakdown '!K71:M71)</f>
        <v>0</v>
      </c>
      <c r="F77" s="59">
        <f t="shared" si="8"/>
        <v>0</v>
      </c>
      <c r="G77" s="96">
        <f t="shared" si="7"/>
        <v>14788</v>
      </c>
      <c r="H77" s="97">
        <f t="shared" si="4"/>
        <v>46707</v>
      </c>
      <c r="I77" s="98">
        <f t="shared" si="3"/>
        <v>46</v>
      </c>
      <c r="J77" s="99"/>
      <c r="K77" s="100"/>
      <c r="L77" s="100"/>
      <c r="M77" s="101"/>
      <c r="N77" s="101"/>
      <c r="O77" s="101"/>
      <c r="P77" s="101"/>
      <c r="Q77" s="101"/>
      <c r="R77" s="102"/>
      <c r="S77" s="103"/>
    </row>
    <row r="78" spans="1:19" x14ac:dyDescent="0.25">
      <c r="A78" s="147" t="s">
        <v>112</v>
      </c>
      <c r="B78" s="50">
        <f>+SUM('Breakdown '!B73:D73)</f>
        <v>0</v>
      </c>
      <c r="C78" s="50">
        <f>+SUM('Breakdown '!E72:G72)</f>
        <v>0</v>
      </c>
      <c r="D78" s="49">
        <f>+SUM('Breakdown '!H73:J73)</f>
        <v>0</v>
      </c>
      <c r="E78" s="49">
        <f>+SUM('Breakdown '!K72:M72)</f>
        <v>0</v>
      </c>
      <c r="F78" s="59">
        <f t="shared" si="8"/>
        <v>0</v>
      </c>
      <c r="G78" s="96">
        <f t="shared" si="7"/>
        <v>14788</v>
      </c>
      <c r="H78" s="97">
        <f t="shared" si="4"/>
        <v>46714</v>
      </c>
      <c r="I78" s="98">
        <f t="shared" si="3"/>
        <v>47</v>
      </c>
      <c r="J78" s="99"/>
      <c r="K78" s="100"/>
      <c r="L78" s="100"/>
      <c r="M78" s="101"/>
      <c r="N78" s="101"/>
      <c r="O78" s="101"/>
      <c r="P78" s="101"/>
      <c r="Q78" s="101"/>
      <c r="R78" s="102"/>
      <c r="S78" s="103"/>
    </row>
    <row r="79" spans="1:19" x14ac:dyDescent="0.25">
      <c r="A79" s="147" t="s">
        <v>113</v>
      </c>
      <c r="B79" s="50">
        <f>+SUM('Breakdown '!B74:D74)</f>
        <v>0</v>
      </c>
      <c r="C79" s="50">
        <f>+SUM('Breakdown '!E73:G73)</f>
        <v>0</v>
      </c>
      <c r="D79" s="49">
        <f>+SUM('Breakdown '!H74:J74)</f>
        <v>0</v>
      </c>
      <c r="E79" s="49">
        <f>+SUM('Breakdown '!K73:M73)</f>
        <v>0</v>
      </c>
      <c r="F79" s="59">
        <f t="shared" si="8"/>
        <v>0</v>
      </c>
      <c r="G79" s="96">
        <f t="shared" si="7"/>
        <v>14788</v>
      </c>
      <c r="H79" s="97">
        <f t="shared" si="4"/>
        <v>46721</v>
      </c>
      <c r="I79" s="98">
        <f t="shared" si="3"/>
        <v>48</v>
      </c>
      <c r="J79" s="99"/>
      <c r="K79" s="100"/>
      <c r="L79" s="100"/>
      <c r="M79" s="101"/>
      <c r="N79" s="101"/>
      <c r="O79" s="101"/>
      <c r="P79" s="101"/>
      <c r="Q79" s="101"/>
      <c r="R79" s="102"/>
      <c r="S79" s="103"/>
    </row>
    <row r="80" spans="1:19" x14ac:dyDescent="0.25">
      <c r="A80" s="147" t="s">
        <v>114</v>
      </c>
      <c r="B80" s="50">
        <f>+SUM('Breakdown '!B75:D75)</f>
        <v>0</v>
      </c>
      <c r="C80" s="50">
        <f>+SUM('Breakdown '!E74:G74)</f>
        <v>0</v>
      </c>
      <c r="D80" s="49">
        <f>+SUM('Breakdown '!H75:J75)</f>
        <v>0</v>
      </c>
      <c r="E80" s="49">
        <f>+SUM('Breakdown '!K74:M74)</f>
        <v>0</v>
      </c>
      <c r="F80" s="58">
        <f t="shared" si="8"/>
        <v>0</v>
      </c>
      <c r="G80" s="96">
        <f t="shared" si="7"/>
        <v>14788</v>
      </c>
      <c r="H80" s="97">
        <f t="shared" si="4"/>
        <v>46728</v>
      </c>
      <c r="I80" s="98">
        <f t="shared" si="3"/>
        <v>49</v>
      </c>
      <c r="J80" s="99"/>
      <c r="K80" s="100"/>
      <c r="L80" s="100"/>
      <c r="M80" s="101"/>
      <c r="N80" s="101"/>
      <c r="O80" s="101"/>
      <c r="P80" s="101"/>
      <c r="Q80" s="101"/>
      <c r="R80" s="102"/>
      <c r="S80" s="103"/>
    </row>
    <row r="81" spans="1:19" x14ac:dyDescent="0.25">
      <c r="A81" s="147" t="s">
        <v>115</v>
      </c>
      <c r="B81" s="50">
        <f>+SUM('Breakdown '!B76:D76)</f>
        <v>0</v>
      </c>
      <c r="C81" s="50">
        <f>+SUM('Breakdown '!E75:G75)</f>
        <v>0</v>
      </c>
      <c r="D81" s="49">
        <f>+SUM('Breakdown '!H76:J76)</f>
        <v>0</v>
      </c>
      <c r="E81" s="49">
        <f>+SUM('Breakdown '!K75:M75)</f>
        <v>0</v>
      </c>
      <c r="F81" s="58">
        <f t="shared" si="8"/>
        <v>0</v>
      </c>
      <c r="G81" s="96">
        <f t="shared" si="7"/>
        <v>14788</v>
      </c>
      <c r="H81" s="97">
        <f t="shared" si="4"/>
        <v>46735</v>
      </c>
      <c r="I81" s="98">
        <f t="shared" si="3"/>
        <v>50</v>
      </c>
      <c r="J81" s="99"/>
      <c r="K81" s="100"/>
      <c r="L81" s="100"/>
      <c r="M81" s="101"/>
      <c r="N81" s="101"/>
      <c r="O81" s="101"/>
      <c r="P81" s="101"/>
      <c r="Q81" s="101"/>
      <c r="R81" s="102"/>
      <c r="S81" s="103"/>
    </row>
    <row r="82" spans="1:19" x14ac:dyDescent="0.25">
      <c r="A82" s="147" t="s">
        <v>116</v>
      </c>
      <c r="B82" s="50">
        <f>+SUM('Breakdown '!B77:D77)</f>
        <v>0</v>
      </c>
      <c r="C82" s="50">
        <f>+SUM('Breakdown '!E76:G76)</f>
        <v>0</v>
      </c>
      <c r="D82" s="49">
        <f>+SUM('Breakdown '!H77:J77)</f>
        <v>0</v>
      </c>
      <c r="E82" s="49">
        <f>+SUM('Breakdown '!K76:M76)</f>
        <v>0</v>
      </c>
      <c r="F82" s="58">
        <f t="shared" si="8"/>
        <v>0</v>
      </c>
      <c r="G82" s="96">
        <f t="shared" si="7"/>
        <v>14788</v>
      </c>
      <c r="H82" s="97">
        <f t="shared" si="4"/>
        <v>46742</v>
      </c>
      <c r="I82" s="98">
        <f t="shared" si="3"/>
        <v>51</v>
      </c>
      <c r="J82" s="99"/>
      <c r="K82" s="100"/>
      <c r="L82" s="100"/>
      <c r="M82" s="101"/>
      <c r="N82" s="101"/>
      <c r="O82" s="101"/>
      <c r="P82" s="101"/>
      <c r="Q82" s="101"/>
      <c r="R82" s="102"/>
      <c r="S82" s="103"/>
    </row>
    <row r="83" spans="1:19" x14ac:dyDescent="0.25">
      <c r="A83" s="147" t="s">
        <v>134</v>
      </c>
      <c r="B83" s="50">
        <f>+SUM('Breakdown '!B78:D78)</f>
        <v>0</v>
      </c>
      <c r="C83" s="50">
        <f>+SUM('Breakdown '!E77:G77)</f>
        <v>0</v>
      </c>
      <c r="D83" s="49">
        <f>+SUM('Breakdown '!H78:J78)</f>
        <v>0</v>
      </c>
      <c r="E83" s="49">
        <f>+SUM('Breakdown '!K77:M77)</f>
        <v>0</v>
      </c>
      <c r="F83" s="58">
        <f t="shared" ref="F83:F90" si="10">SUM(B83:E83)</f>
        <v>0</v>
      </c>
      <c r="G83" s="96">
        <f t="shared" si="7"/>
        <v>14788</v>
      </c>
      <c r="H83" s="97">
        <f t="shared" si="4"/>
        <v>46749</v>
      </c>
      <c r="I83" s="98">
        <f t="shared" si="3"/>
        <v>52</v>
      </c>
      <c r="J83" s="99"/>
      <c r="K83" s="100"/>
      <c r="L83" s="100"/>
      <c r="M83" s="101"/>
      <c r="N83" s="101"/>
      <c r="O83" s="101"/>
      <c r="P83" s="101"/>
      <c r="Q83" s="101"/>
      <c r="R83" s="102"/>
      <c r="S83" s="103"/>
    </row>
    <row r="84" spans="1:19" x14ac:dyDescent="0.25">
      <c r="A84" s="147" t="s">
        <v>117</v>
      </c>
      <c r="B84" s="50">
        <f>+SUM('Breakdown '!B79:D79)</f>
        <v>0</v>
      </c>
      <c r="C84" s="50">
        <f>+SUM('Breakdown '!E78:G78)</f>
        <v>0</v>
      </c>
      <c r="D84" s="49">
        <f>+SUM('Breakdown '!H79:J79)</f>
        <v>0</v>
      </c>
      <c r="E84" s="49">
        <f>+SUM('Breakdown '!K78:M78)</f>
        <v>0</v>
      </c>
      <c r="F84" s="58">
        <f t="shared" si="10"/>
        <v>0</v>
      </c>
      <c r="G84" s="96">
        <f t="shared" si="7"/>
        <v>14788</v>
      </c>
      <c r="H84" s="97">
        <f t="shared" si="4"/>
        <v>46756</v>
      </c>
      <c r="I84" s="98">
        <f t="shared" ref="I84:I91" si="11">_xlfn.ISOWEEKNUM(H84)</f>
        <v>1</v>
      </c>
      <c r="J84" s="99"/>
      <c r="K84" s="100"/>
      <c r="L84" s="100"/>
      <c r="M84" s="101"/>
      <c r="N84" s="101"/>
      <c r="O84" s="101"/>
      <c r="P84" s="101"/>
      <c r="Q84" s="101"/>
      <c r="R84" s="102"/>
      <c r="S84" s="103"/>
    </row>
    <row r="85" spans="1:19" x14ac:dyDescent="0.25">
      <c r="A85" s="147" t="s">
        <v>118</v>
      </c>
      <c r="B85" s="50">
        <f>+SUM('Breakdown '!B80:D80)</f>
        <v>0</v>
      </c>
      <c r="C85" s="50">
        <f>+SUM('Breakdown '!E79:G79)</f>
        <v>0</v>
      </c>
      <c r="D85" s="49">
        <f>+SUM('Breakdown '!H80:J80)</f>
        <v>0</v>
      </c>
      <c r="E85" s="49">
        <f>+SUM('Breakdown '!K79:M79)</f>
        <v>0</v>
      </c>
      <c r="F85" s="58">
        <f t="shared" si="10"/>
        <v>0</v>
      </c>
      <c r="G85" s="96">
        <f t="shared" ref="G85:G88" si="12">F85+G84</f>
        <v>14788</v>
      </c>
      <c r="H85" s="97">
        <f t="shared" si="4"/>
        <v>46763</v>
      </c>
      <c r="I85" s="98">
        <f t="shared" ref="I85:I88" si="13">_xlfn.ISOWEEKNUM(H85)</f>
        <v>2</v>
      </c>
      <c r="J85" s="99"/>
      <c r="K85" s="100"/>
      <c r="L85" s="100"/>
      <c r="M85" s="101"/>
      <c r="N85" s="101"/>
      <c r="O85" s="101"/>
      <c r="P85" s="101"/>
      <c r="Q85" s="101"/>
      <c r="R85" s="102"/>
      <c r="S85" s="103"/>
    </row>
    <row r="86" spans="1:19" x14ac:dyDescent="0.25">
      <c r="A86" s="147" t="s">
        <v>119</v>
      </c>
      <c r="B86" s="50">
        <f>+SUM('Breakdown '!B81:D81)</f>
        <v>0</v>
      </c>
      <c r="C86" s="50">
        <f>+SUM('Breakdown '!E80:G80)</f>
        <v>0</v>
      </c>
      <c r="D86" s="49">
        <f>+SUM('Breakdown '!H81:J81)</f>
        <v>0</v>
      </c>
      <c r="E86" s="49">
        <f>+SUM('Breakdown '!K80:M80)</f>
        <v>0</v>
      </c>
      <c r="F86" s="58">
        <f t="shared" si="10"/>
        <v>0</v>
      </c>
      <c r="G86" s="96">
        <f t="shared" si="12"/>
        <v>14788</v>
      </c>
      <c r="H86" s="97">
        <f t="shared" ref="H86:H88" si="14">H85+7</f>
        <v>46770</v>
      </c>
      <c r="I86" s="98">
        <f t="shared" si="13"/>
        <v>3</v>
      </c>
      <c r="J86" s="99"/>
      <c r="K86" s="100"/>
      <c r="L86" s="100"/>
      <c r="M86" s="101"/>
      <c r="N86" s="101"/>
      <c r="O86" s="101"/>
      <c r="P86" s="101"/>
      <c r="Q86" s="101"/>
      <c r="R86" s="102"/>
      <c r="S86" s="103"/>
    </row>
    <row r="87" spans="1:19" x14ac:dyDescent="0.25">
      <c r="A87" s="147" t="s">
        <v>120</v>
      </c>
      <c r="B87" s="50">
        <f>+SUM('Breakdown '!B82:D82)</f>
        <v>0</v>
      </c>
      <c r="C87" s="50">
        <f>+SUM('Breakdown '!E81:G81)</f>
        <v>0</v>
      </c>
      <c r="D87" s="49">
        <f>+SUM('Breakdown '!H82:J82)</f>
        <v>0</v>
      </c>
      <c r="E87" s="49">
        <f>+SUM('Breakdown '!K81:M81)</f>
        <v>0</v>
      </c>
      <c r="F87" s="58">
        <f t="shared" si="10"/>
        <v>0</v>
      </c>
      <c r="G87" s="96">
        <f t="shared" si="12"/>
        <v>14788</v>
      </c>
      <c r="H87" s="97">
        <f t="shared" si="14"/>
        <v>46777</v>
      </c>
      <c r="I87" s="98">
        <f t="shared" si="13"/>
        <v>4</v>
      </c>
      <c r="J87" s="99"/>
      <c r="K87" s="100"/>
      <c r="L87" s="100"/>
      <c r="M87" s="101"/>
      <c r="N87" s="101"/>
      <c r="O87" s="101"/>
      <c r="P87" s="101"/>
      <c r="Q87" s="101"/>
      <c r="R87" s="102"/>
      <c r="S87" s="103"/>
    </row>
    <row r="88" spans="1:19" x14ac:dyDescent="0.25">
      <c r="A88" s="147" t="s">
        <v>121</v>
      </c>
      <c r="B88" s="50">
        <f>+SUM('Breakdown '!B83:D83)</f>
        <v>0</v>
      </c>
      <c r="C88" s="50">
        <f>+SUM('Breakdown '!E82:G82)</f>
        <v>0</v>
      </c>
      <c r="D88" s="50">
        <f>+SUM('Breakdown '!H83:J83)</f>
        <v>0</v>
      </c>
      <c r="E88" s="49">
        <f>+SUM('Breakdown '!K82:M82)</f>
        <v>0</v>
      </c>
      <c r="F88" s="58">
        <f t="shared" si="10"/>
        <v>0</v>
      </c>
      <c r="G88" s="96">
        <f t="shared" si="12"/>
        <v>14788</v>
      </c>
      <c r="H88" s="97">
        <f t="shared" si="14"/>
        <v>46784</v>
      </c>
      <c r="I88" s="98">
        <f t="shared" si="13"/>
        <v>5</v>
      </c>
      <c r="J88" s="99"/>
      <c r="K88" s="100"/>
      <c r="L88" s="100"/>
      <c r="M88" s="101"/>
      <c r="N88" s="101"/>
      <c r="O88" s="101"/>
      <c r="P88" s="101"/>
      <c r="Q88" s="101"/>
      <c r="R88" s="102"/>
      <c r="S88" s="103"/>
    </row>
    <row r="89" spans="1:19" x14ac:dyDescent="0.25">
      <c r="A89" s="51" t="s">
        <v>13</v>
      </c>
      <c r="B89" s="52">
        <f>SUM(B19:B88)</f>
        <v>1216</v>
      </c>
      <c r="C89" s="52">
        <f t="shared" ref="C89:E89" si="15">SUM(C19:C88)</f>
        <v>5896.8</v>
      </c>
      <c r="D89" s="52">
        <f>SUM(D19:D88)</f>
        <v>2808</v>
      </c>
      <c r="E89" s="52">
        <f t="shared" si="15"/>
        <v>4867.2</v>
      </c>
      <c r="F89" s="52">
        <f t="shared" si="10"/>
        <v>14788</v>
      </c>
      <c r="G89" s="96">
        <f>F89+G85</f>
        <v>29576</v>
      </c>
      <c r="H89" s="97">
        <f>H85+7</f>
        <v>46770</v>
      </c>
      <c r="I89" s="98">
        <f t="shared" si="11"/>
        <v>3</v>
      </c>
      <c r="J89" s="99"/>
      <c r="K89" s="100"/>
      <c r="L89" s="100"/>
      <c r="M89" s="101"/>
      <c r="N89" s="101"/>
      <c r="O89" s="101"/>
      <c r="P89" s="101"/>
      <c r="Q89" s="101"/>
      <c r="R89" s="102"/>
      <c r="S89" s="103"/>
    </row>
    <row r="90" spans="1:19" x14ac:dyDescent="0.25">
      <c r="A90" s="51" t="s">
        <v>12</v>
      </c>
      <c r="B90" s="52">
        <f t="shared" ref="B90:E90" si="16">B89/B13</f>
        <v>405.33333333333331</v>
      </c>
      <c r="C90" s="52">
        <f t="shared" si="16"/>
        <v>1965.6000000000001</v>
      </c>
      <c r="D90" s="52">
        <f>D89/D13</f>
        <v>936</v>
      </c>
      <c r="E90" s="52">
        <f t="shared" si="16"/>
        <v>1622.3999999999999</v>
      </c>
      <c r="F90" s="52">
        <f t="shared" si="10"/>
        <v>4929.333333333333</v>
      </c>
      <c r="G90" s="96">
        <f t="shared" si="7"/>
        <v>34505.333333333336</v>
      </c>
      <c r="H90" s="97">
        <f t="shared" ref="H90:H91" si="17">H89+7</f>
        <v>46777</v>
      </c>
      <c r="I90" s="98">
        <f t="shared" si="11"/>
        <v>4</v>
      </c>
      <c r="J90" s="99"/>
      <c r="K90" s="100"/>
      <c r="L90" s="100"/>
      <c r="M90" s="101"/>
      <c r="N90" s="101"/>
      <c r="O90" s="101"/>
      <c r="P90" s="101"/>
      <c r="Q90" s="101"/>
      <c r="R90" s="102"/>
      <c r="S90" s="103"/>
    </row>
    <row r="91" spans="1:19" ht="18.75" thickBot="1" x14ac:dyDescent="0.3">
      <c r="A91" s="53"/>
      <c r="B91" s="52"/>
      <c r="C91" s="52"/>
      <c r="D91" s="52"/>
      <c r="E91" s="52"/>
      <c r="F91" s="52">
        <f>SUM(F19:F88)</f>
        <v>14788</v>
      </c>
      <c r="G91" s="127">
        <f>F91+G90</f>
        <v>49293.333333333336</v>
      </c>
      <c r="H91" s="97">
        <f t="shared" si="17"/>
        <v>46784</v>
      </c>
      <c r="I91" s="99">
        <f t="shared" si="11"/>
        <v>5</v>
      </c>
      <c r="J91" s="99"/>
      <c r="K91" s="100"/>
      <c r="L91" s="100"/>
      <c r="M91" s="101"/>
      <c r="N91" s="101"/>
      <c r="O91" s="101"/>
      <c r="P91" s="101"/>
      <c r="Q91" s="101"/>
      <c r="R91" s="102"/>
      <c r="S91" s="103"/>
    </row>
    <row r="92" spans="1:19" x14ac:dyDescent="0.25">
      <c r="A92" s="47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</row>
    <row r="93" spans="1:19" x14ac:dyDescent="0.25">
      <c r="B93" s="35"/>
      <c r="C93" s="35"/>
      <c r="D93" s="35"/>
      <c r="E93" s="35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 spans="1:19" x14ac:dyDescent="0.25">
      <c r="B94" s="41"/>
      <c r="C94" s="41"/>
      <c r="D94" s="41"/>
      <c r="E94" s="41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 spans="1:19" x14ac:dyDescent="0.25">
      <c r="B95" s="35"/>
      <c r="C95" s="35"/>
      <c r="D95" s="35"/>
      <c r="E95" s="35"/>
      <c r="F95" s="35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 spans="1:19" x14ac:dyDescent="0.25">
      <c r="B96" s="32"/>
      <c r="C96" s="32"/>
      <c r="D96" s="32"/>
      <c r="E96" s="32"/>
      <c r="F96" s="32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 s="29" customFormat="1" x14ac:dyDescent="0.25"/>
    <row r="98" s="29" customFormat="1" x14ac:dyDescent="0.25"/>
    <row r="99" s="29" customFormat="1" x14ac:dyDescent="0.25"/>
    <row r="100" s="29" customFormat="1" x14ac:dyDescent="0.25"/>
    <row r="101" s="29" customFormat="1" x14ac:dyDescent="0.25"/>
    <row r="102" s="29" customFormat="1" x14ac:dyDescent="0.25"/>
    <row r="103" s="29" customFormat="1" x14ac:dyDescent="0.25"/>
    <row r="104" s="29" customFormat="1" x14ac:dyDescent="0.25"/>
    <row r="105" s="29" customFormat="1" x14ac:dyDescent="0.25"/>
    <row r="106" s="29" customFormat="1" x14ac:dyDescent="0.25"/>
    <row r="107" s="29" customFormat="1" x14ac:dyDescent="0.25"/>
    <row r="108" s="29" customFormat="1" x14ac:dyDescent="0.25"/>
    <row r="109" s="29" customFormat="1" x14ac:dyDescent="0.25"/>
    <row r="110" s="29" customFormat="1" x14ac:dyDescent="0.25"/>
    <row r="111" s="29" customFormat="1" x14ac:dyDescent="0.25"/>
    <row r="112" s="29" customFormat="1" x14ac:dyDescent="0.25"/>
    <row r="113" spans="7:19" x14ac:dyDescent="0.25"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 spans="7:19" x14ac:dyDescent="0.25"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 spans="7:19" x14ac:dyDescent="0.25"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 spans="7:19" x14ac:dyDescent="0.25"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 spans="7:19" x14ac:dyDescent="0.25"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</row>
    <row r="118" spans="7:19" x14ac:dyDescent="0.25"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 spans="7:19" x14ac:dyDescent="0.25"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 spans="7:19" x14ac:dyDescent="0.25"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 spans="7:19" x14ac:dyDescent="0.25"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 spans="7:19" x14ac:dyDescent="0.25"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 spans="7:19" x14ac:dyDescent="0.25">
      <c r="G123" s="119"/>
      <c r="H123" s="120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</row>
    <row r="124" spans="7:19" x14ac:dyDescent="0.25">
      <c r="G124" s="122"/>
      <c r="H124" s="120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</row>
    <row r="125" spans="7:19" ht="18.75" thickBot="1" x14ac:dyDescent="0.3">
      <c r="G125" s="123"/>
      <c r="H125" s="124"/>
    </row>
    <row r="126" spans="7:19" x14ac:dyDescent="0.25">
      <c r="G126" s="29"/>
      <c r="L126" s="125"/>
      <c r="M126" s="125"/>
      <c r="N126" s="125"/>
      <c r="O126" s="125"/>
      <c r="P126" s="125"/>
      <c r="Q126" s="125"/>
      <c r="R126" s="125"/>
      <c r="S126" s="125"/>
    </row>
    <row r="127" spans="7:19" x14ac:dyDescent="0.25">
      <c r="G127" s="125"/>
      <c r="H127" s="121"/>
      <c r="I127" s="121"/>
      <c r="J127" s="121"/>
      <c r="K127" s="121"/>
      <c r="L127" s="121"/>
      <c r="M127" s="121"/>
      <c r="N127" s="121"/>
      <c r="O127" s="121"/>
      <c r="P127" s="121"/>
    </row>
    <row r="128" spans="7:19" x14ac:dyDescent="0.25">
      <c r="G128" s="109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</row>
    <row r="129" spans="7:19" x14ac:dyDescent="0.25">
      <c r="G129" s="125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</row>
    <row r="130" spans="7:19" x14ac:dyDescent="0.25">
      <c r="G130" s="126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</row>
    <row r="131" spans="7:19" x14ac:dyDescent="0.25">
      <c r="G131" s="125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</row>
    <row r="132" spans="7:19" x14ac:dyDescent="0.25">
      <c r="G132" s="125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</row>
    <row r="133" spans="7:19" x14ac:dyDescent="0.25">
      <c r="G133" s="125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</row>
    <row r="134" spans="7:19" x14ac:dyDescent="0.25">
      <c r="G134" s="125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</row>
    <row r="135" spans="7:19" x14ac:dyDescent="0.25">
      <c r="G135" s="125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</row>
    <row r="136" spans="7:19" x14ac:dyDescent="0.25">
      <c r="G136" s="125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</row>
    <row r="137" spans="7:19" x14ac:dyDescent="0.25">
      <c r="G137" s="125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</row>
    <row r="138" spans="7:19" x14ac:dyDescent="0.25">
      <c r="G138" s="125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</row>
    <row r="139" spans="7:19" x14ac:dyDescent="0.25">
      <c r="G139" s="125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</row>
    <row r="140" spans="7:19" x14ac:dyDescent="0.25">
      <c r="G140" s="125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</row>
    <row r="141" spans="7:19" x14ac:dyDescent="0.25">
      <c r="G141" s="125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</row>
    <row r="142" spans="7:19" x14ac:dyDescent="0.25">
      <c r="G142" s="125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</row>
    <row r="143" spans="7:19" x14ac:dyDescent="0.25">
      <c r="G143" s="125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</row>
    <row r="144" spans="7:19" x14ac:dyDescent="0.25">
      <c r="G144" s="125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</row>
    <row r="145" spans="7:19" x14ac:dyDescent="0.25">
      <c r="G145" s="125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</row>
    <row r="146" spans="7:19" x14ac:dyDescent="0.25">
      <c r="G146" s="125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</row>
    <row r="147" spans="7:19" x14ac:dyDescent="0.25">
      <c r="G147" s="125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</row>
    <row r="148" spans="7:19" x14ac:dyDescent="0.25">
      <c r="G148" s="125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</row>
    <row r="149" spans="7:19" x14ac:dyDescent="0.25">
      <c r="G149" s="125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</row>
    <row r="150" spans="7:19" x14ac:dyDescent="0.25">
      <c r="G150" s="125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</row>
    <row r="151" spans="7:19" x14ac:dyDescent="0.25">
      <c r="G151" s="125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</row>
    <row r="152" spans="7:19" x14ac:dyDescent="0.25">
      <c r="G152" s="125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</row>
    <row r="153" spans="7:19" x14ac:dyDescent="0.25">
      <c r="G153" s="125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</row>
    <row r="154" spans="7:19" x14ac:dyDescent="0.25">
      <c r="G154" s="125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</row>
    <row r="155" spans="7:19" x14ac:dyDescent="0.25">
      <c r="G155" s="125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</row>
    <row r="156" spans="7:19" x14ac:dyDescent="0.25">
      <c r="G156" s="125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</row>
    <row r="157" spans="7:19" x14ac:dyDescent="0.25">
      <c r="G157" s="125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</row>
    <row r="158" spans="7:19" x14ac:dyDescent="0.25">
      <c r="G158" s="125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</row>
    <row r="159" spans="7:19" x14ac:dyDescent="0.25">
      <c r="G159" s="125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</row>
    <row r="160" spans="7:19" x14ac:dyDescent="0.25">
      <c r="G160" s="125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</row>
    <row r="161" spans="7:19" x14ac:dyDescent="0.25">
      <c r="G161" s="125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</row>
    <row r="162" spans="7:19" x14ac:dyDescent="0.25">
      <c r="G162" s="125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</row>
    <row r="163" spans="7:19" x14ac:dyDescent="0.25">
      <c r="G163" s="125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</row>
    <row r="164" spans="7:19" x14ac:dyDescent="0.25">
      <c r="G164" s="125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</row>
    <row r="165" spans="7:19" x14ac:dyDescent="0.25">
      <c r="G165" s="125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</row>
    <row r="166" spans="7:19" x14ac:dyDescent="0.25">
      <c r="G166" s="125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</row>
    <row r="167" spans="7:19" x14ac:dyDescent="0.25">
      <c r="G167" s="125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</row>
    <row r="168" spans="7:19" x14ac:dyDescent="0.25">
      <c r="G168" s="125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</row>
    <row r="169" spans="7:19" x14ac:dyDescent="0.25">
      <c r="G169" s="125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</row>
    <row r="170" spans="7:19" x14ac:dyDescent="0.25">
      <c r="G170" s="125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</row>
    <row r="171" spans="7:19" x14ac:dyDescent="0.25">
      <c r="G171" s="125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</row>
    <row r="172" spans="7:19" x14ac:dyDescent="0.25">
      <c r="G172" s="125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</row>
    <row r="173" spans="7:19" x14ac:dyDescent="0.25">
      <c r="G173" s="125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</row>
    <row r="174" spans="7:19" x14ac:dyDescent="0.25">
      <c r="G174" s="125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</row>
    <row r="175" spans="7:19" x14ac:dyDescent="0.25">
      <c r="G175" s="125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</row>
    <row r="176" spans="7:19" x14ac:dyDescent="0.25">
      <c r="G176" s="125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</row>
    <row r="177" spans="7:19" x14ac:dyDescent="0.25">
      <c r="G177" s="125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</row>
    <row r="178" spans="7:19" x14ac:dyDescent="0.25">
      <c r="G178" s="125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</row>
    <row r="179" spans="7:19" x14ac:dyDescent="0.25">
      <c r="G179" s="125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</row>
    <row r="180" spans="7:19" x14ac:dyDescent="0.25">
      <c r="G180" s="125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</row>
    <row r="181" spans="7:19" x14ac:dyDescent="0.25">
      <c r="G181" s="125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</row>
    <row r="182" spans="7:19" x14ac:dyDescent="0.25">
      <c r="G182" s="125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</row>
    <row r="183" spans="7:19" x14ac:dyDescent="0.25">
      <c r="G183" s="125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</row>
    <row r="184" spans="7:19" x14ac:dyDescent="0.25">
      <c r="G184" s="125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</row>
    <row r="185" spans="7:19" x14ac:dyDescent="0.25">
      <c r="G185" s="125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</row>
    <row r="186" spans="7:19" x14ac:dyDescent="0.25">
      <c r="G186" s="125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</row>
    <row r="187" spans="7:19" x14ac:dyDescent="0.25">
      <c r="G187" s="125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</row>
    <row r="188" spans="7:19" x14ac:dyDescent="0.25">
      <c r="G188" s="125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</row>
    <row r="189" spans="7:19" x14ac:dyDescent="0.25">
      <c r="G189" s="125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</row>
    <row r="190" spans="7:19" x14ac:dyDescent="0.25">
      <c r="G190" s="125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</row>
    <row r="191" spans="7:19" x14ac:dyDescent="0.25">
      <c r="G191" s="125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</row>
    <row r="192" spans="7:19" x14ac:dyDescent="0.25">
      <c r="G192" s="125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</row>
    <row r="193" spans="7:19" x14ac:dyDescent="0.25">
      <c r="G193" s="125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</row>
    <row r="194" spans="7:19" x14ac:dyDescent="0.25">
      <c r="G194" s="125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</row>
    <row r="195" spans="7:19" x14ac:dyDescent="0.25">
      <c r="G195" s="125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</row>
    <row r="196" spans="7:19" x14ac:dyDescent="0.25">
      <c r="G196" s="125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</row>
    <row r="197" spans="7:19" x14ac:dyDescent="0.25">
      <c r="G197" s="125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</row>
    <row r="198" spans="7:19" x14ac:dyDescent="0.25">
      <c r="G198" s="109"/>
    </row>
    <row r="199" spans="7:19" x14ac:dyDescent="0.25">
      <c r="G199" s="109"/>
    </row>
    <row r="200" spans="7:19" x14ac:dyDescent="0.25">
      <c r="G200" s="109"/>
    </row>
    <row r="201" spans="7:19" x14ac:dyDescent="0.25">
      <c r="G201" s="109"/>
    </row>
    <row r="202" spans="7:19" x14ac:dyDescent="0.25">
      <c r="G202" s="109"/>
    </row>
    <row r="203" spans="7:19" x14ac:dyDescent="0.25">
      <c r="G203" s="109"/>
    </row>
    <row r="204" spans="7:19" x14ac:dyDescent="0.25">
      <c r="G204" s="109"/>
    </row>
    <row r="205" spans="7:19" x14ac:dyDescent="0.25">
      <c r="G205" s="109"/>
    </row>
    <row r="206" spans="7:19" x14ac:dyDescent="0.25">
      <c r="G206" s="109"/>
    </row>
    <row r="207" spans="7:19" x14ac:dyDescent="0.25">
      <c r="G207" s="109"/>
    </row>
    <row r="208" spans="7:19" x14ac:dyDescent="0.25">
      <c r="G208" s="109"/>
    </row>
    <row r="209" spans="7:7" x14ac:dyDescent="0.25">
      <c r="G209" s="109"/>
    </row>
    <row r="210" spans="7:7" x14ac:dyDescent="0.25">
      <c r="G210" s="109"/>
    </row>
    <row r="211" spans="7:7" x14ac:dyDescent="0.25">
      <c r="G211" s="109"/>
    </row>
    <row r="212" spans="7:7" x14ac:dyDescent="0.25">
      <c r="G212" s="109"/>
    </row>
    <row r="213" spans="7:7" x14ac:dyDescent="0.25">
      <c r="G213" s="109"/>
    </row>
    <row r="214" spans="7:7" x14ac:dyDescent="0.25">
      <c r="G214" s="109"/>
    </row>
    <row r="215" spans="7:7" x14ac:dyDescent="0.25">
      <c r="G215" s="109"/>
    </row>
    <row r="216" spans="7:7" x14ac:dyDescent="0.25">
      <c r="G216" s="109"/>
    </row>
    <row r="217" spans="7:7" x14ac:dyDescent="0.25">
      <c r="G217" s="109"/>
    </row>
    <row r="218" spans="7:7" x14ac:dyDescent="0.25">
      <c r="G218" s="109"/>
    </row>
    <row r="219" spans="7:7" x14ac:dyDescent="0.25">
      <c r="G219" s="109"/>
    </row>
    <row r="220" spans="7:7" x14ac:dyDescent="0.25">
      <c r="G220" s="109"/>
    </row>
    <row r="221" spans="7:7" x14ac:dyDescent="0.25">
      <c r="G221" s="109"/>
    </row>
    <row r="222" spans="7:7" x14ac:dyDescent="0.25">
      <c r="G222" s="109"/>
    </row>
    <row r="223" spans="7:7" x14ac:dyDescent="0.25">
      <c r="G223" s="109"/>
    </row>
    <row r="224" spans="7:7" x14ac:dyDescent="0.25">
      <c r="G224" s="109"/>
    </row>
    <row r="225" spans="7:7" x14ac:dyDescent="0.25">
      <c r="G225" s="109"/>
    </row>
    <row r="226" spans="7:7" x14ac:dyDescent="0.25">
      <c r="G226" s="109"/>
    </row>
    <row r="227" spans="7:7" x14ac:dyDescent="0.25">
      <c r="G227" s="109"/>
    </row>
    <row r="228" spans="7:7" x14ac:dyDescent="0.25">
      <c r="G228" s="109"/>
    </row>
    <row r="229" spans="7:7" x14ac:dyDescent="0.25">
      <c r="G229" s="109"/>
    </row>
    <row r="230" spans="7:7" x14ac:dyDescent="0.25">
      <c r="G230" s="109"/>
    </row>
    <row r="231" spans="7:7" x14ac:dyDescent="0.25">
      <c r="G231" s="109"/>
    </row>
    <row r="232" spans="7:7" x14ac:dyDescent="0.25">
      <c r="G232" s="109"/>
    </row>
    <row r="233" spans="7:7" x14ac:dyDescent="0.25">
      <c r="G233" s="109"/>
    </row>
    <row r="234" spans="7:7" x14ac:dyDescent="0.25">
      <c r="G234" s="109"/>
    </row>
    <row r="235" spans="7:7" x14ac:dyDescent="0.25">
      <c r="G235" s="109"/>
    </row>
    <row r="236" spans="7:7" x14ac:dyDescent="0.25">
      <c r="G236" s="109"/>
    </row>
    <row r="237" spans="7:7" x14ac:dyDescent="0.25">
      <c r="G237" s="109"/>
    </row>
    <row r="238" spans="7:7" x14ac:dyDescent="0.25">
      <c r="G238" s="109"/>
    </row>
    <row r="239" spans="7:7" x14ac:dyDescent="0.25">
      <c r="G239" s="109"/>
    </row>
    <row r="240" spans="7:7" x14ac:dyDescent="0.25">
      <c r="G240" s="109"/>
    </row>
    <row r="241" spans="7:7" x14ac:dyDescent="0.25">
      <c r="G241" s="109"/>
    </row>
    <row r="242" spans="7:7" x14ac:dyDescent="0.25">
      <c r="G242" s="109"/>
    </row>
    <row r="243" spans="7:7" x14ac:dyDescent="0.25">
      <c r="G243" s="109"/>
    </row>
    <row r="244" spans="7:7" x14ac:dyDescent="0.25">
      <c r="G244" s="109"/>
    </row>
    <row r="245" spans="7:7" x14ac:dyDescent="0.25">
      <c r="G245" s="109"/>
    </row>
    <row r="246" spans="7:7" x14ac:dyDescent="0.25">
      <c r="G246" s="109"/>
    </row>
    <row r="247" spans="7:7" x14ac:dyDescent="0.25">
      <c r="G247" s="109"/>
    </row>
    <row r="248" spans="7:7" x14ac:dyDescent="0.25">
      <c r="G248" s="109"/>
    </row>
    <row r="249" spans="7:7" x14ac:dyDescent="0.25">
      <c r="G249" s="109"/>
    </row>
    <row r="250" spans="7:7" x14ac:dyDescent="0.25">
      <c r="G250" s="109"/>
    </row>
    <row r="251" spans="7:7" x14ac:dyDescent="0.25">
      <c r="G251" s="109"/>
    </row>
    <row r="252" spans="7:7" x14ac:dyDescent="0.25">
      <c r="G252" s="109"/>
    </row>
    <row r="253" spans="7:7" x14ac:dyDescent="0.25">
      <c r="G253" s="109"/>
    </row>
    <row r="254" spans="7:7" x14ac:dyDescent="0.25">
      <c r="G254" s="109"/>
    </row>
    <row r="255" spans="7:7" x14ac:dyDescent="0.25">
      <c r="G255" s="109"/>
    </row>
    <row r="256" spans="7:7" x14ac:dyDescent="0.25">
      <c r="G256" s="109"/>
    </row>
    <row r="257" spans="7:7" x14ac:dyDescent="0.25">
      <c r="G257" s="109"/>
    </row>
    <row r="258" spans="7:7" x14ac:dyDescent="0.25">
      <c r="G258" s="109"/>
    </row>
    <row r="259" spans="7:7" x14ac:dyDescent="0.25">
      <c r="G259" s="109"/>
    </row>
    <row r="260" spans="7:7" x14ac:dyDescent="0.25">
      <c r="G260" s="109"/>
    </row>
    <row r="261" spans="7:7" x14ac:dyDescent="0.25">
      <c r="G261" s="109"/>
    </row>
    <row r="262" spans="7:7" x14ac:dyDescent="0.25">
      <c r="G262" s="109"/>
    </row>
    <row r="263" spans="7:7" x14ac:dyDescent="0.25">
      <c r="G263" s="109"/>
    </row>
    <row r="264" spans="7:7" x14ac:dyDescent="0.25">
      <c r="G264" s="109"/>
    </row>
    <row r="265" spans="7:7" x14ac:dyDescent="0.25">
      <c r="G265" s="109"/>
    </row>
    <row r="266" spans="7:7" x14ac:dyDescent="0.25">
      <c r="G266" s="109"/>
    </row>
    <row r="267" spans="7:7" x14ac:dyDescent="0.25">
      <c r="G267" s="109"/>
    </row>
    <row r="268" spans="7:7" x14ac:dyDescent="0.25">
      <c r="G268" s="109"/>
    </row>
    <row r="269" spans="7:7" x14ac:dyDescent="0.25">
      <c r="G269" s="109"/>
    </row>
    <row r="270" spans="7:7" x14ac:dyDescent="0.25">
      <c r="G270" s="109"/>
    </row>
    <row r="271" spans="7:7" x14ac:dyDescent="0.25">
      <c r="G271" s="109"/>
    </row>
    <row r="272" spans="7:7" x14ac:dyDescent="0.25">
      <c r="G272" s="109"/>
    </row>
    <row r="273" spans="7:7" x14ac:dyDescent="0.25">
      <c r="G273" s="109"/>
    </row>
    <row r="274" spans="7:7" x14ac:dyDescent="0.25">
      <c r="G274" s="109"/>
    </row>
    <row r="275" spans="7:7" x14ac:dyDescent="0.25">
      <c r="G275" s="109"/>
    </row>
    <row r="276" spans="7:7" x14ac:dyDescent="0.25">
      <c r="G276" s="109"/>
    </row>
    <row r="277" spans="7:7" x14ac:dyDescent="0.25">
      <c r="G277" s="109"/>
    </row>
    <row r="278" spans="7:7" x14ac:dyDescent="0.25">
      <c r="G278" s="109"/>
    </row>
    <row r="279" spans="7:7" x14ac:dyDescent="0.25">
      <c r="G279" s="109"/>
    </row>
    <row r="280" spans="7:7" x14ac:dyDescent="0.25">
      <c r="G280" s="109"/>
    </row>
    <row r="281" spans="7:7" x14ac:dyDescent="0.25">
      <c r="G281" s="109"/>
    </row>
    <row r="282" spans="7:7" x14ac:dyDescent="0.25">
      <c r="G282" s="109"/>
    </row>
    <row r="283" spans="7:7" x14ac:dyDescent="0.25">
      <c r="G283" s="109"/>
    </row>
    <row r="284" spans="7:7" x14ac:dyDescent="0.25">
      <c r="G284" s="109"/>
    </row>
    <row r="285" spans="7:7" x14ac:dyDescent="0.25">
      <c r="G285" s="109"/>
    </row>
    <row r="286" spans="7:7" x14ac:dyDescent="0.25">
      <c r="G286" s="109"/>
    </row>
    <row r="287" spans="7:7" x14ac:dyDescent="0.25">
      <c r="G287" s="109"/>
    </row>
    <row r="288" spans="7:7" x14ac:dyDescent="0.25">
      <c r="G288" s="109"/>
    </row>
    <row r="289" spans="7:7" x14ac:dyDescent="0.25">
      <c r="G289" s="109"/>
    </row>
    <row r="290" spans="7:7" x14ac:dyDescent="0.25">
      <c r="G290" s="109"/>
    </row>
    <row r="291" spans="7:7" x14ac:dyDescent="0.25">
      <c r="G291" s="109"/>
    </row>
    <row r="292" spans="7:7" x14ac:dyDescent="0.25">
      <c r="G292" s="109"/>
    </row>
    <row r="293" spans="7:7" x14ac:dyDescent="0.25">
      <c r="G293" s="109"/>
    </row>
    <row r="294" spans="7:7" x14ac:dyDescent="0.25">
      <c r="G294" s="109"/>
    </row>
    <row r="295" spans="7:7" x14ac:dyDescent="0.25">
      <c r="G295" s="109"/>
    </row>
    <row r="296" spans="7:7" x14ac:dyDescent="0.25">
      <c r="G296" s="109"/>
    </row>
    <row r="297" spans="7:7" x14ac:dyDescent="0.25">
      <c r="G297" s="109"/>
    </row>
    <row r="298" spans="7:7" x14ac:dyDescent="0.25">
      <c r="G298" s="109"/>
    </row>
    <row r="299" spans="7:7" x14ac:dyDescent="0.25">
      <c r="G299" s="109"/>
    </row>
    <row r="300" spans="7:7" x14ac:dyDescent="0.25">
      <c r="G300" s="109"/>
    </row>
    <row r="301" spans="7:7" x14ac:dyDescent="0.25">
      <c r="G301" s="109"/>
    </row>
    <row r="302" spans="7:7" x14ac:dyDescent="0.25">
      <c r="G302" s="109"/>
    </row>
    <row r="303" spans="7:7" x14ac:dyDescent="0.25">
      <c r="G303" s="109"/>
    </row>
    <row r="304" spans="7:7" x14ac:dyDescent="0.25">
      <c r="G304" s="109"/>
    </row>
    <row r="305" spans="7:7" x14ac:dyDescent="0.25">
      <c r="G305" s="109"/>
    </row>
    <row r="306" spans="7:7" x14ac:dyDescent="0.25">
      <c r="G306" s="109"/>
    </row>
    <row r="307" spans="7:7" x14ac:dyDescent="0.25">
      <c r="G307" s="109"/>
    </row>
    <row r="308" spans="7:7" x14ac:dyDescent="0.25">
      <c r="G308" s="109"/>
    </row>
    <row r="309" spans="7:7" x14ac:dyDescent="0.25">
      <c r="G309" s="109"/>
    </row>
    <row r="310" spans="7:7" x14ac:dyDescent="0.25">
      <c r="G310" s="109"/>
    </row>
    <row r="311" spans="7:7" x14ac:dyDescent="0.25">
      <c r="G311" s="109"/>
    </row>
    <row r="312" spans="7:7" x14ac:dyDescent="0.25">
      <c r="G312" s="109"/>
    </row>
    <row r="313" spans="7:7" x14ac:dyDescent="0.25">
      <c r="G313" s="109"/>
    </row>
    <row r="314" spans="7:7" x14ac:dyDescent="0.25">
      <c r="G314" s="109"/>
    </row>
    <row r="315" spans="7:7" x14ac:dyDescent="0.25">
      <c r="G315" s="109"/>
    </row>
    <row r="316" spans="7:7" x14ac:dyDescent="0.25">
      <c r="G316" s="109"/>
    </row>
    <row r="317" spans="7:7" x14ac:dyDescent="0.25">
      <c r="G317" s="109"/>
    </row>
    <row r="318" spans="7:7" x14ac:dyDescent="0.25">
      <c r="G318" s="109"/>
    </row>
    <row r="319" spans="7:7" x14ac:dyDescent="0.25">
      <c r="G319" s="109"/>
    </row>
    <row r="320" spans="7:7" x14ac:dyDescent="0.25">
      <c r="G320" s="109"/>
    </row>
    <row r="321" spans="7:7" x14ac:dyDescent="0.25">
      <c r="G321" s="109"/>
    </row>
    <row r="322" spans="7:7" x14ac:dyDescent="0.25">
      <c r="G322" s="109"/>
    </row>
    <row r="323" spans="7:7" x14ac:dyDescent="0.25">
      <c r="G323" s="109"/>
    </row>
    <row r="324" spans="7:7" x14ac:dyDescent="0.25">
      <c r="G324" s="109"/>
    </row>
    <row r="325" spans="7:7" x14ac:dyDescent="0.25">
      <c r="G325" s="109"/>
    </row>
    <row r="326" spans="7:7" x14ac:dyDescent="0.25">
      <c r="G326" s="109"/>
    </row>
    <row r="327" spans="7:7" x14ac:dyDescent="0.25">
      <c r="G327" s="109"/>
    </row>
    <row r="328" spans="7:7" x14ac:dyDescent="0.25">
      <c r="G328" s="109"/>
    </row>
    <row r="329" spans="7:7" x14ac:dyDescent="0.25">
      <c r="G329" s="109"/>
    </row>
    <row r="330" spans="7:7" x14ac:dyDescent="0.25">
      <c r="G330" s="109"/>
    </row>
    <row r="331" spans="7:7" x14ac:dyDescent="0.25">
      <c r="G331" s="109"/>
    </row>
    <row r="332" spans="7:7" x14ac:dyDescent="0.25">
      <c r="G332" s="109"/>
    </row>
    <row r="333" spans="7:7" x14ac:dyDescent="0.25">
      <c r="G333" s="109"/>
    </row>
    <row r="334" spans="7:7" x14ac:dyDescent="0.25">
      <c r="G334" s="109"/>
    </row>
    <row r="335" spans="7:7" x14ac:dyDescent="0.25">
      <c r="G335" s="109"/>
    </row>
    <row r="336" spans="7:7" x14ac:dyDescent="0.25">
      <c r="G336" s="109"/>
    </row>
    <row r="337" spans="7:7" x14ac:dyDescent="0.25">
      <c r="G337" s="109"/>
    </row>
    <row r="338" spans="7:7" x14ac:dyDescent="0.25">
      <c r="G338" s="109"/>
    </row>
    <row r="339" spans="7:7" x14ac:dyDescent="0.25">
      <c r="G339" s="109"/>
    </row>
    <row r="340" spans="7:7" x14ac:dyDescent="0.25">
      <c r="G340" s="109"/>
    </row>
    <row r="341" spans="7:7" x14ac:dyDescent="0.25">
      <c r="G341" s="109"/>
    </row>
    <row r="342" spans="7:7" x14ac:dyDescent="0.25">
      <c r="G342" s="109"/>
    </row>
    <row r="343" spans="7:7" x14ac:dyDescent="0.25">
      <c r="G343" s="109"/>
    </row>
    <row r="344" spans="7:7" x14ac:dyDescent="0.25">
      <c r="G344" s="109"/>
    </row>
    <row r="345" spans="7:7" x14ac:dyDescent="0.25">
      <c r="G345" s="109"/>
    </row>
    <row r="346" spans="7:7" x14ac:dyDescent="0.25">
      <c r="G346" s="109"/>
    </row>
    <row r="347" spans="7:7" x14ac:dyDescent="0.25">
      <c r="G347" s="109"/>
    </row>
    <row r="348" spans="7:7" x14ac:dyDescent="0.25">
      <c r="G348" s="109"/>
    </row>
    <row r="349" spans="7:7" x14ac:dyDescent="0.25">
      <c r="G349" s="109"/>
    </row>
    <row r="350" spans="7:7" x14ac:dyDescent="0.25">
      <c r="G350" s="109"/>
    </row>
    <row r="351" spans="7:7" x14ac:dyDescent="0.25">
      <c r="G351" s="109"/>
    </row>
    <row r="352" spans="7:7" x14ac:dyDescent="0.25">
      <c r="G352" s="109"/>
    </row>
    <row r="353" spans="7:7" x14ac:dyDescent="0.25">
      <c r="G353" s="109"/>
    </row>
    <row r="354" spans="7:7" x14ac:dyDescent="0.25">
      <c r="G354" s="109"/>
    </row>
    <row r="355" spans="7:7" x14ac:dyDescent="0.25">
      <c r="G355" s="109"/>
    </row>
    <row r="356" spans="7:7" x14ac:dyDescent="0.25">
      <c r="G356" s="109"/>
    </row>
    <row r="357" spans="7:7" x14ac:dyDescent="0.25">
      <c r="G357" s="109"/>
    </row>
    <row r="358" spans="7:7" x14ac:dyDescent="0.25">
      <c r="G358" s="109"/>
    </row>
    <row r="359" spans="7:7" x14ac:dyDescent="0.25">
      <c r="G359" s="109"/>
    </row>
    <row r="360" spans="7:7" x14ac:dyDescent="0.25">
      <c r="G360" s="109"/>
    </row>
    <row r="361" spans="7:7" x14ac:dyDescent="0.25">
      <c r="G361" s="109"/>
    </row>
    <row r="362" spans="7:7" x14ac:dyDescent="0.25">
      <c r="G362" s="109"/>
    </row>
    <row r="363" spans="7:7" x14ac:dyDescent="0.25">
      <c r="G363" s="109"/>
    </row>
    <row r="364" spans="7:7" x14ac:dyDescent="0.25">
      <c r="G364" s="109"/>
    </row>
    <row r="365" spans="7:7" x14ac:dyDescent="0.25">
      <c r="G365" s="109"/>
    </row>
    <row r="366" spans="7:7" x14ac:dyDescent="0.25">
      <c r="G366" s="109"/>
    </row>
    <row r="367" spans="7:7" x14ac:dyDescent="0.25">
      <c r="G367" s="109"/>
    </row>
    <row r="368" spans="7:7" x14ac:dyDescent="0.25">
      <c r="G368" s="109"/>
    </row>
    <row r="369" spans="7:7" x14ac:dyDescent="0.25">
      <c r="G369" s="109"/>
    </row>
    <row r="370" spans="7:7" x14ac:dyDescent="0.25">
      <c r="G370" s="109"/>
    </row>
    <row r="371" spans="7:7" x14ac:dyDescent="0.25">
      <c r="G371" s="109"/>
    </row>
    <row r="372" spans="7:7" x14ac:dyDescent="0.25">
      <c r="G372" s="109"/>
    </row>
    <row r="373" spans="7:7" x14ac:dyDescent="0.25">
      <c r="G373" s="109"/>
    </row>
    <row r="374" spans="7:7" x14ac:dyDescent="0.25">
      <c r="G374" s="109"/>
    </row>
    <row r="375" spans="7:7" x14ac:dyDescent="0.25">
      <c r="G375" s="109"/>
    </row>
    <row r="376" spans="7:7" x14ac:dyDescent="0.25">
      <c r="G376" s="109"/>
    </row>
    <row r="377" spans="7:7" x14ac:dyDescent="0.25">
      <c r="G377" s="109"/>
    </row>
    <row r="378" spans="7:7" x14ac:dyDescent="0.25">
      <c r="G378" s="109"/>
    </row>
    <row r="379" spans="7:7" x14ac:dyDescent="0.25">
      <c r="G379" s="109"/>
    </row>
    <row r="380" spans="7:7" x14ac:dyDescent="0.25">
      <c r="G380" s="109"/>
    </row>
    <row r="381" spans="7:7" x14ac:dyDescent="0.25">
      <c r="G381" s="109"/>
    </row>
    <row r="382" spans="7:7" x14ac:dyDescent="0.25">
      <c r="G382" s="109"/>
    </row>
    <row r="383" spans="7:7" x14ac:dyDescent="0.25">
      <c r="G383" s="109"/>
    </row>
    <row r="384" spans="7:7" x14ac:dyDescent="0.25">
      <c r="G384" s="109"/>
    </row>
    <row r="385" spans="7:7" x14ac:dyDescent="0.25">
      <c r="G385" s="109"/>
    </row>
    <row r="386" spans="7:7" x14ac:dyDescent="0.25">
      <c r="G386" s="109"/>
    </row>
    <row r="387" spans="7:7" x14ac:dyDescent="0.25">
      <c r="G387" s="109"/>
    </row>
    <row r="388" spans="7:7" x14ac:dyDescent="0.25">
      <c r="G388" s="109"/>
    </row>
    <row r="389" spans="7:7" x14ac:dyDescent="0.25">
      <c r="G389" s="109"/>
    </row>
    <row r="390" spans="7:7" x14ac:dyDescent="0.25">
      <c r="G390" s="109"/>
    </row>
    <row r="391" spans="7:7" x14ac:dyDescent="0.25">
      <c r="G391" s="109"/>
    </row>
    <row r="392" spans="7:7" x14ac:dyDescent="0.25">
      <c r="G392" s="109"/>
    </row>
    <row r="393" spans="7:7" x14ac:dyDescent="0.25">
      <c r="G393" s="109"/>
    </row>
    <row r="394" spans="7:7" x14ac:dyDescent="0.25">
      <c r="G394" s="109"/>
    </row>
    <row r="395" spans="7:7" x14ac:dyDescent="0.25">
      <c r="G395" s="109"/>
    </row>
    <row r="396" spans="7:7" x14ac:dyDescent="0.25">
      <c r="G396" s="109"/>
    </row>
    <row r="397" spans="7:7" x14ac:dyDescent="0.25">
      <c r="G397" s="109"/>
    </row>
    <row r="398" spans="7:7" x14ac:dyDescent="0.25">
      <c r="G398" s="109"/>
    </row>
    <row r="399" spans="7:7" x14ac:dyDescent="0.25">
      <c r="G399" s="109"/>
    </row>
    <row r="400" spans="7:7" x14ac:dyDescent="0.25">
      <c r="G400" s="109"/>
    </row>
    <row r="401" spans="7:7" x14ac:dyDescent="0.25">
      <c r="G401" s="109"/>
    </row>
    <row r="402" spans="7:7" x14ac:dyDescent="0.25">
      <c r="G402" s="109"/>
    </row>
    <row r="403" spans="7:7" x14ac:dyDescent="0.25">
      <c r="G403" s="109"/>
    </row>
    <row r="404" spans="7:7" x14ac:dyDescent="0.25">
      <c r="G404" s="109"/>
    </row>
    <row r="405" spans="7:7" x14ac:dyDescent="0.25">
      <c r="G405" s="109"/>
    </row>
    <row r="406" spans="7:7" x14ac:dyDescent="0.25">
      <c r="G406" s="109"/>
    </row>
    <row r="407" spans="7:7" x14ac:dyDescent="0.25">
      <c r="G407" s="109"/>
    </row>
    <row r="408" spans="7:7" x14ac:dyDescent="0.25">
      <c r="G408" s="109"/>
    </row>
    <row r="409" spans="7:7" x14ac:dyDescent="0.25">
      <c r="G409" s="109"/>
    </row>
    <row r="410" spans="7:7" x14ac:dyDescent="0.25">
      <c r="G410" s="109"/>
    </row>
    <row r="411" spans="7:7" x14ac:dyDescent="0.25">
      <c r="G411" s="109"/>
    </row>
    <row r="412" spans="7:7" x14ac:dyDescent="0.25">
      <c r="G412" s="109"/>
    </row>
    <row r="413" spans="7:7" x14ac:dyDescent="0.25">
      <c r="G413" s="109"/>
    </row>
    <row r="414" spans="7:7" x14ac:dyDescent="0.25">
      <c r="G414" s="109"/>
    </row>
    <row r="415" spans="7:7" x14ac:dyDescent="0.25">
      <c r="G415" s="109"/>
    </row>
    <row r="416" spans="7:7" x14ac:dyDescent="0.25">
      <c r="G416" s="109"/>
    </row>
    <row r="417" spans="7:7" x14ac:dyDescent="0.25">
      <c r="G417" s="109"/>
    </row>
    <row r="418" spans="7:7" x14ac:dyDescent="0.25">
      <c r="G418" s="109"/>
    </row>
    <row r="419" spans="7:7" x14ac:dyDescent="0.25">
      <c r="G419" s="109"/>
    </row>
    <row r="420" spans="7:7" x14ac:dyDescent="0.25">
      <c r="G420" s="109"/>
    </row>
    <row r="421" spans="7:7" x14ac:dyDescent="0.25">
      <c r="G421" s="109"/>
    </row>
    <row r="422" spans="7:7" x14ac:dyDescent="0.25">
      <c r="G422" s="109"/>
    </row>
    <row r="423" spans="7:7" x14ac:dyDescent="0.25">
      <c r="G423" s="109"/>
    </row>
    <row r="424" spans="7:7" x14ac:dyDescent="0.25">
      <c r="G424" s="109"/>
    </row>
    <row r="425" spans="7:7" x14ac:dyDescent="0.25">
      <c r="G425" s="109"/>
    </row>
    <row r="426" spans="7:7" x14ac:dyDescent="0.25">
      <c r="G426" s="109"/>
    </row>
    <row r="427" spans="7:7" x14ac:dyDescent="0.25">
      <c r="G427" s="109"/>
    </row>
    <row r="428" spans="7:7" x14ac:dyDescent="0.25">
      <c r="G428" s="109"/>
    </row>
    <row r="429" spans="7:7" x14ac:dyDescent="0.25">
      <c r="G429" s="109"/>
    </row>
    <row r="430" spans="7:7" x14ac:dyDescent="0.25">
      <c r="G430" s="109"/>
    </row>
    <row r="431" spans="7:7" x14ac:dyDescent="0.25">
      <c r="G431" s="109"/>
    </row>
    <row r="432" spans="7:7" x14ac:dyDescent="0.25">
      <c r="G432" s="109"/>
    </row>
    <row r="433" spans="7:7" x14ac:dyDescent="0.25">
      <c r="G433" s="109"/>
    </row>
    <row r="434" spans="7:7" x14ac:dyDescent="0.25">
      <c r="G434" s="109"/>
    </row>
    <row r="435" spans="7:7" x14ac:dyDescent="0.25">
      <c r="G435" s="109"/>
    </row>
    <row r="436" spans="7:7" x14ac:dyDescent="0.25">
      <c r="G436" s="109"/>
    </row>
    <row r="437" spans="7:7" x14ac:dyDescent="0.25">
      <c r="G437" s="109"/>
    </row>
    <row r="438" spans="7:7" x14ac:dyDescent="0.25">
      <c r="G438" s="109"/>
    </row>
    <row r="439" spans="7:7" x14ac:dyDescent="0.25">
      <c r="G439" s="109"/>
    </row>
    <row r="440" spans="7:7" x14ac:dyDescent="0.25">
      <c r="G440" s="109"/>
    </row>
    <row r="441" spans="7:7" x14ac:dyDescent="0.25">
      <c r="G441" s="109"/>
    </row>
    <row r="442" spans="7:7" x14ac:dyDescent="0.25">
      <c r="G442" s="109"/>
    </row>
    <row r="443" spans="7:7" x14ac:dyDescent="0.25">
      <c r="G443" s="109"/>
    </row>
    <row r="444" spans="7:7" x14ac:dyDescent="0.25">
      <c r="G444" s="109"/>
    </row>
    <row r="445" spans="7:7" x14ac:dyDescent="0.25">
      <c r="G445" s="109"/>
    </row>
    <row r="446" spans="7:7" x14ac:dyDescent="0.25">
      <c r="G446" s="109"/>
    </row>
    <row r="447" spans="7:7" x14ac:dyDescent="0.25">
      <c r="G447" s="109"/>
    </row>
    <row r="448" spans="7:7" x14ac:dyDescent="0.25">
      <c r="G448" s="109"/>
    </row>
    <row r="449" spans="7:7" x14ac:dyDescent="0.25">
      <c r="G449" s="109"/>
    </row>
    <row r="450" spans="7:7" x14ac:dyDescent="0.25">
      <c r="G450" s="109"/>
    </row>
    <row r="451" spans="7:7" x14ac:dyDescent="0.25">
      <c r="G451" s="109"/>
    </row>
    <row r="452" spans="7:7" x14ac:dyDescent="0.25">
      <c r="G452" s="109"/>
    </row>
    <row r="453" spans="7:7" x14ac:dyDescent="0.25">
      <c r="G453" s="109"/>
    </row>
    <row r="454" spans="7:7" x14ac:dyDescent="0.25">
      <c r="G454" s="109"/>
    </row>
    <row r="455" spans="7:7" x14ac:dyDescent="0.25">
      <c r="G455" s="109"/>
    </row>
    <row r="456" spans="7:7" x14ac:dyDescent="0.25">
      <c r="G456" s="109"/>
    </row>
    <row r="457" spans="7:7" x14ac:dyDescent="0.25">
      <c r="G457" s="109"/>
    </row>
    <row r="458" spans="7:7" x14ac:dyDescent="0.25">
      <c r="G458" s="109"/>
    </row>
    <row r="459" spans="7:7" x14ac:dyDescent="0.25">
      <c r="G459" s="109"/>
    </row>
    <row r="460" spans="7:7" x14ac:dyDescent="0.25">
      <c r="G460" s="109"/>
    </row>
    <row r="461" spans="7:7" x14ac:dyDescent="0.25">
      <c r="G461" s="109"/>
    </row>
    <row r="462" spans="7:7" x14ac:dyDescent="0.25">
      <c r="G462" s="109"/>
    </row>
    <row r="463" spans="7:7" x14ac:dyDescent="0.25">
      <c r="G463" s="109"/>
    </row>
    <row r="464" spans="7:7" x14ac:dyDescent="0.25">
      <c r="G464" s="109"/>
    </row>
    <row r="465" spans="7:7" x14ac:dyDescent="0.25">
      <c r="G465" s="109"/>
    </row>
    <row r="466" spans="7:7" x14ac:dyDescent="0.25">
      <c r="G466" s="109"/>
    </row>
    <row r="467" spans="7:7" x14ac:dyDescent="0.25">
      <c r="G467" s="109"/>
    </row>
    <row r="468" spans="7:7" x14ac:dyDescent="0.25">
      <c r="G468" s="109"/>
    </row>
    <row r="469" spans="7:7" x14ac:dyDescent="0.25">
      <c r="G469" s="109"/>
    </row>
    <row r="470" spans="7:7" x14ac:dyDescent="0.25">
      <c r="G470" s="109"/>
    </row>
    <row r="471" spans="7:7" x14ac:dyDescent="0.25">
      <c r="G471" s="109"/>
    </row>
    <row r="472" spans="7:7" x14ac:dyDescent="0.25">
      <c r="G472" s="109"/>
    </row>
    <row r="473" spans="7:7" x14ac:dyDescent="0.25">
      <c r="G473" s="109"/>
    </row>
    <row r="474" spans="7:7" x14ac:dyDescent="0.25">
      <c r="G474" s="109"/>
    </row>
    <row r="475" spans="7:7" x14ac:dyDescent="0.25">
      <c r="G475" s="109"/>
    </row>
    <row r="476" spans="7:7" x14ac:dyDescent="0.25">
      <c r="G476" s="109"/>
    </row>
    <row r="477" spans="7:7" x14ac:dyDescent="0.25">
      <c r="G477" s="109"/>
    </row>
    <row r="478" spans="7:7" x14ac:dyDescent="0.25">
      <c r="G478" s="109"/>
    </row>
    <row r="479" spans="7:7" x14ac:dyDescent="0.25">
      <c r="G479" s="109"/>
    </row>
    <row r="480" spans="7:7" x14ac:dyDescent="0.25">
      <c r="G480" s="109"/>
    </row>
    <row r="481" spans="7:7" x14ac:dyDescent="0.25">
      <c r="G481" s="109"/>
    </row>
    <row r="482" spans="7:7" x14ac:dyDescent="0.25">
      <c r="G482" s="109"/>
    </row>
    <row r="483" spans="7:7" x14ac:dyDescent="0.25">
      <c r="G483" s="109"/>
    </row>
    <row r="484" spans="7:7" x14ac:dyDescent="0.25">
      <c r="G484" s="109"/>
    </row>
    <row r="485" spans="7:7" x14ac:dyDescent="0.25">
      <c r="G485" s="109"/>
    </row>
    <row r="486" spans="7:7" x14ac:dyDescent="0.25">
      <c r="G486" s="109"/>
    </row>
    <row r="487" spans="7:7" x14ac:dyDescent="0.25">
      <c r="G487" s="109"/>
    </row>
    <row r="488" spans="7:7" x14ac:dyDescent="0.25">
      <c r="G488" s="109"/>
    </row>
    <row r="489" spans="7:7" x14ac:dyDescent="0.25">
      <c r="G489" s="109"/>
    </row>
    <row r="490" spans="7:7" x14ac:dyDescent="0.25">
      <c r="G490" s="109"/>
    </row>
    <row r="491" spans="7:7" x14ac:dyDescent="0.25">
      <c r="G491" s="109"/>
    </row>
    <row r="492" spans="7:7" x14ac:dyDescent="0.25">
      <c r="G492" s="109"/>
    </row>
    <row r="493" spans="7:7" x14ac:dyDescent="0.25">
      <c r="G493" s="109"/>
    </row>
    <row r="494" spans="7:7" x14ac:dyDescent="0.25">
      <c r="G494" s="109"/>
    </row>
    <row r="495" spans="7:7" x14ac:dyDescent="0.25">
      <c r="G495" s="109"/>
    </row>
    <row r="496" spans="7:7" x14ac:dyDescent="0.25">
      <c r="G496" s="109"/>
    </row>
    <row r="497" spans="7:7" x14ac:dyDescent="0.25">
      <c r="G497" s="109"/>
    </row>
    <row r="498" spans="7:7" x14ac:dyDescent="0.25">
      <c r="G498" s="109"/>
    </row>
    <row r="499" spans="7:7" x14ac:dyDescent="0.25">
      <c r="G499" s="109"/>
    </row>
    <row r="500" spans="7:7" x14ac:dyDescent="0.25">
      <c r="G500" s="109"/>
    </row>
    <row r="501" spans="7:7" x14ac:dyDescent="0.25">
      <c r="G501" s="109"/>
    </row>
    <row r="502" spans="7:7" x14ac:dyDescent="0.25">
      <c r="G502" s="109"/>
    </row>
    <row r="503" spans="7:7" x14ac:dyDescent="0.25">
      <c r="G503" s="109"/>
    </row>
    <row r="504" spans="7:7" x14ac:dyDescent="0.25">
      <c r="G504" s="109"/>
    </row>
    <row r="505" spans="7:7" x14ac:dyDescent="0.25">
      <c r="G505" s="109"/>
    </row>
    <row r="506" spans="7:7" x14ac:dyDescent="0.25">
      <c r="G506" s="109"/>
    </row>
    <row r="507" spans="7:7" x14ac:dyDescent="0.25">
      <c r="G507" s="109"/>
    </row>
    <row r="508" spans="7:7" x14ac:dyDescent="0.25">
      <c r="G508" s="109"/>
    </row>
    <row r="509" spans="7:7" x14ac:dyDescent="0.25">
      <c r="G509" s="109"/>
    </row>
    <row r="510" spans="7:7" x14ac:dyDescent="0.25">
      <c r="G510" s="109"/>
    </row>
    <row r="511" spans="7:7" x14ac:dyDescent="0.25">
      <c r="G511" s="109"/>
    </row>
    <row r="512" spans="7:7" x14ac:dyDescent="0.25">
      <c r="G512" s="109"/>
    </row>
    <row r="513" spans="7:7" x14ac:dyDescent="0.25">
      <c r="G513" s="109"/>
    </row>
    <row r="514" spans="7:7" x14ac:dyDescent="0.25">
      <c r="G514" s="109"/>
    </row>
  </sheetData>
  <mergeCells count="14">
    <mergeCell ref="F9:F18"/>
    <mergeCell ref="G9:G18"/>
    <mergeCell ref="H9:H18"/>
    <mergeCell ref="I9:I18"/>
    <mergeCell ref="J9:J18"/>
    <mergeCell ref="P9:P18"/>
    <mergeCell ref="Q9:Q18"/>
    <mergeCell ref="R9:R18"/>
    <mergeCell ref="S9:S18"/>
    <mergeCell ref="K9:K18"/>
    <mergeCell ref="L9:L18"/>
    <mergeCell ref="M9:M18"/>
    <mergeCell ref="N9:N18"/>
    <mergeCell ref="O9:O18"/>
  </mergeCells>
  <phoneticPr fontId="24" type="noConversion"/>
  <pageMargins left="0.51181102362204722" right="0.15748031496062992" top="0.51181102362204722" bottom="0.19685039370078741" header="0.39370078740157483" footer="0.15748031496062992"/>
  <pageSetup paperSize="9" scale="27" orientation="portrait" r:id="rId1"/>
  <headerFooter alignWithMargins="0"/>
  <ignoredErrors>
    <ignoredError sqref="E15 E19:E57 B19:C84 B14:C15 D19:D84 D15 E59:E8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A76"/>
  <sheetViews>
    <sheetView zoomScale="70" zoomScaleNormal="70" workbookViewId="0">
      <selection activeCell="AB27" sqref="AB27"/>
    </sheetView>
  </sheetViews>
  <sheetFormatPr defaultRowHeight="15" x14ac:dyDescent="0.25"/>
  <cols>
    <col min="1" max="1" width="10.42578125" customWidth="1"/>
    <col min="13" max="13" width="12" customWidth="1"/>
  </cols>
  <sheetData>
    <row r="3" spans="1:1" ht="21" x14ac:dyDescent="0.35">
      <c r="A3" s="150">
        <v>46293</v>
      </c>
    </row>
    <row r="76" spans="1:1" x14ac:dyDescent="0.25">
      <c r="A76" s="91">
        <v>46079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</vt:lpstr>
      <vt:lpstr>BARBIE 2728</vt:lpstr>
      <vt:lpstr>Release Qty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Thanh Ha</dc:creator>
  <cp:lastModifiedBy>Dương Thị Trà</cp:lastModifiedBy>
  <dcterms:created xsi:type="dcterms:W3CDTF">2024-09-09T11:11:31Z</dcterms:created>
  <dcterms:modified xsi:type="dcterms:W3CDTF">2026-09-30T10:03:16Z</dcterms:modified>
</cp:coreProperties>
</file>