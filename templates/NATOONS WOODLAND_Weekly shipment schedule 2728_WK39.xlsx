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E:\Desktop\WEELY-W39\"/>
    </mc:Choice>
  </mc:AlternateContent>
  <xr:revisionPtr revIDLastSave="0" documentId="13_ncr:1_{A1687F0C-5C32-4558-837D-32692D3AE54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reakdown " sheetId="1" r:id="rId1"/>
    <sheet name="NATOONS WOODLAND" sheetId="2" r:id="rId2"/>
    <sheet name="Release Qty" sheetId="3" r:id="rId3"/>
  </sheets>
  <definedNames>
    <definedName name="_xlnm._FilterDatabase" localSheetId="1" hidden="1">'NATOONS WOODLAND'!$A$20:$I$20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2" l="1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G84" i="1"/>
  <c r="G87" i="1" s="1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19" i="2"/>
  <c r="H19" i="2"/>
  <c r="F19" i="2"/>
  <c r="E19" i="2"/>
  <c r="H16" i="2"/>
  <c r="G16" i="2"/>
  <c r="F16" i="2"/>
  <c r="E16" i="2"/>
  <c r="H15" i="2"/>
  <c r="G15" i="2"/>
  <c r="F15" i="2"/>
  <c r="D16" i="2"/>
  <c r="C16" i="2"/>
  <c r="B16" i="2"/>
  <c r="D14" i="2"/>
  <c r="W79" i="1"/>
  <c r="X79" i="1"/>
  <c r="Y79" i="1"/>
  <c r="W80" i="1"/>
  <c r="X80" i="1"/>
  <c r="Y80" i="1"/>
  <c r="W81" i="1"/>
  <c r="X81" i="1"/>
  <c r="Y81" i="1"/>
  <c r="W82" i="1"/>
  <c r="X82" i="1"/>
  <c r="Y82" i="1"/>
  <c r="W83" i="1"/>
  <c r="X83" i="1"/>
  <c r="Y83" i="1"/>
  <c r="B84" i="1"/>
  <c r="C84" i="1"/>
  <c r="D84" i="1"/>
  <c r="E84" i="1"/>
  <c r="F84" i="1"/>
  <c r="H84" i="1"/>
  <c r="I84" i="1"/>
  <c r="J84" i="1"/>
  <c r="K84" i="1"/>
  <c r="L84" i="1"/>
  <c r="M84" i="1"/>
  <c r="Q84" i="1"/>
  <c r="R84" i="1"/>
  <c r="S84" i="1"/>
  <c r="H14" i="2"/>
  <c r="G14" i="2"/>
  <c r="F14" i="2"/>
  <c r="E14" i="2"/>
  <c r="C14" i="2"/>
  <c r="X10" i="1"/>
  <c r="Y10" i="1"/>
  <c r="W10" i="1"/>
  <c r="Y9" i="1"/>
  <c r="Y11" i="1" s="1"/>
  <c r="X9" i="1"/>
  <c r="X11" i="1" s="1"/>
  <c r="W9" i="1"/>
  <c r="W11" i="1" s="1"/>
  <c r="V11" i="1"/>
  <c r="V87" i="1" s="1"/>
  <c r="V89" i="1" s="1"/>
  <c r="U11" i="1"/>
  <c r="U87" i="1" s="1"/>
  <c r="U89" i="1" s="1"/>
  <c r="T11" i="1"/>
  <c r="T87" i="1" s="1"/>
  <c r="T89" i="1" s="1"/>
  <c r="P11" i="1"/>
  <c r="P87" i="1" s="1"/>
  <c r="P89" i="1" s="1"/>
  <c r="O11" i="1"/>
  <c r="O87" i="1" s="1"/>
  <c r="O89" i="1" s="1"/>
  <c r="N11" i="1"/>
  <c r="N87" i="1" s="1"/>
  <c r="N89" i="1" s="1"/>
  <c r="B85" i="2"/>
  <c r="C85" i="2"/>
  <c r="D85" i="2"/>
  <c r="E85" i="2"/>
  <c r="B86" i="2"/>
  <c r="C86" i="2"/>
  <c r="D86" i="2"/>
  <c r="E86" i="2"/>
  <c r="B87" i="2"/>
  <c r="C87" i="2"/>
  <c r="D87" i="2"/>
  <c r="E87" i="2"/>
  <c r="B88" i="2"/>
  <c r="C88" i="2"/>
  <c r="D88" i="2"/>
  <c r="E88" i="2"/>
  <c r="W76" i="1"/>
  <c r="X76" i="1"/>
  <c r="Y76" i="1"/>
  <c r="W77" i="1"/>
  <c r="X77" i="1"/>
  <c r="Y77" i="1"/>
  <c r="W78" i="1"/>
  <c r="X78" i="1"/>
  <c r="Y78" i="1"/>
  <c r="G89" i="2" l="1"/>
  <c r="G90" i="2" s="1"/>
  <c r="F89" i="2"/>
  <c r="F90" i="2" s="1"/>
  <c r="X84" i="1"/>
  <c r="W84" i="1"/>
  <c r="Y84" i="1"/>
  <c r="I88" i="2"/>
  <c r="I87" i="2"/>
  <c r="I86" i="2"/>
  <c r="I85" i="2"/>
  <c r="X16" i="1" l="1"/>
  <c r="W15" i="1"/>
  <c r="W74" i="1"/>
  <c r="Y75" i="1"/>
  <c r="X75" i="1"/>
  <c r="W75" i="1"/>
  <c r="Y74" i="1"/>
  <c r="X74" i="1"/>
  <c r="Y73" i="1"/>
  <c r="X73" i="1"/>
  <c r="W73" i="1"/>
  <c r="Y72" i="1"/>
  <c r="X72" i="1"/>
  <c r="W72" i="1"/>
  <c r="Y71" i="1"/>
  <c r="X71" i="1"/>
  <c r="W71" i="1"/>
  <c r="Y70" i="1"/>
  <c r="X70" i="1"/>
  <c r="W70" i="1"/>
  <c r="Y69" i="1"/>
  <c r="X69" i="1"/>
  <c r="W69" i="1"/>
  <c r="Y68" i="1"/>
  <c r="X68" i="1"/>
  <c r="W68" i="1"/>
  <c r="Y67" i="1"/>
  <c r="X67" i="1"/>
  <c r="W67" i="1"/>
  <c r="Y66" i="1"/>
  <c r="X66" i="1"/>
  <c r="W66" i="1"/>
  <c r="Y65" i="1"/>
  <c r="X65" i="1"/>
  <c r="W65" i="1"/>
  <c r="Y64" i="1"/>
  <c r="X64" i="1"/>
  <c r="W64" i="1"/>
  <c r="Y63" i="1"/>
  <c r="X63" i="1"/>
  <c r="W63" i="1"/>
  <c r="Y62" i="1"/>
  <c r="X62" i="1"/>
  <c r="W62" i="1"/>
  <c r="Y61" i="1"/>
  <c r="X61" i="1"/>
  <c r="W61" i="1"/>
  <c r="Y60" i="1"/>
  <c r="X60" i="1"/>
  <c r="W60" i="1"/>
  <c r="Y59" i="1"/>
  <c r="X59" i="1"/>
  <c r="W59" i="1"/>
  <c r="Y58" i="1"/>
  <c r="X58" i="1"/>
  <c r="W58" i="1"/>
  <c r="Y57" i="1"/>
  <c r="X57" i="1"/>
  <c r="W57" i="1"/>
  <c r="Y56" i="1"/>
  <c r="X56" i="1"/>
  <c r="W56" i="1"/>
  <c r="Y55" i="1"/>
  <c r="X55" i="1"/>
  <c r="W55" i="1"/>
  <c r="Y54" i="1"/>
  <c r="X54" i="1"/>
  <c r="W54" i="1"/>
  <c r="Y53" i="1"/>
  <c r="X53" i="1"/>
  <c r="W53" i="1"/>
  <c r="Y52" i="1"/>
  <c r="X52" i="1"/>
  <c r="W52" i="1"/>
  <c r="Y51" i="1"/>
  <c r="X51" i="1"/>
  <c r="W51" i="1"/>
  <c r="Y50" i="1"/>
  <c r="X50" i="1"/>
  <c r="W50" i="1"/>
  <c r="Y49" i="1"/>
  <c r="X49" i="1"/>
  <c r="W49" i="1"/>
  <c r="Y48" i="1"/>
  <c r="X48" i="1"/>
  <c r="W48" i="1"/>
  <c r="Y47" i="1"/>
  <c r="X47" i="1"/>
  <c r="W47" i="1"/>
  <c r="Y46" i="1"/>
  <c r="X46" i="1"/>
  <c r="W46" i="1"/>
  <c r="Y45" i="1"/>
  <c r="X45" i="1"/>
  <c r="W45" i="1"/>
  <c r="Y44" i="1"/>
  <c r="X44" i="1"/>
  <c r="W44" i="1"/>
  <c r="Y43" i="1"/>
  <c r="X43" i="1"/>
  <c r="W43" i="1"/>
  <c r="Y42" i="1"/>
  <c r="X42" i="1"/>
  <c r="W42" i="1"/>
  <c r="Y41" i="1"/>
  <c r="X41" i="1"/>
  <c r="W41" i="1"/>
  <c r="Y40" i="1"/>
  <c r="X40" i="1"/>
  <c r="W40" i="1"/>
  <c r="Y39" i="1"/>
  <c r="X39" i="1"/>
  <c r="W39" i="1"/>
  <c r="Y38" i="1"/>
  <c r="X38" i="1"/>
  <c r="W38" i="1"/>
  <c r="Y37" i="1"/>
  <c r="X37" i="1"/>
  <c r="W37" i="1"/>
  <c r="Y36" i="1"/>
  <c r="X36" i="1"/>
  <c r="W36" i="1"/>
  <c r="Y35" i="1"/>
  <c r="X35" i="1"/>
  <c r="W35" i="1"/>
  <c r="Y34" i="1"/>
  <c r="X34" i="1"/>
  <c r="W34" i="1"/>
  <c r="Y33" i="1"/>
  <c r="X33" i="1"/>
  <c r="W33" i="1"/>
  <c r="Y32" i="1"/>
  <c r="X32" i="1"/>
  <c r="W32" i="1"/>
  <c r="Y31" i="1"/>
  <c r="X31" i="1"/>
  <c r="W31" i="1"/>
  <c r="Y30" i="1"/>
  <c r="X30" i="1"/>
  <c r="W30" i="1"/>
  <c r="Y29" i="1"/>
  <c r="X29" i="1"/>
  <c r="W29" i="1"/>
  <c r="Y28" i="1"/>
  <c r="X28" i="1"/>
  <c r="W28" i="1"/>
  <c r="Y27" i="1"/>
  <c r="X27" i="1"/>
  <c r="W27" i="1"/>
  <c r="Y26" i="1"/>
  <c r="X26" i="1"/>
  <c r="W26" i="1"/>
  <c r="Y25" i="1"/>
  <c r="X25" i="1"/>
  <c r="W25" i="1"/>
  <c r="Y24" i="1"/>
  <c r="X24" i="1"/>
  <c r="W24" i="1"/>
  <c r="Y23" i="1"/>
  <c r="X23" i="1"/>
  <c r="W23" i="1"/>
  <c r="Y22" i="1"/>
  <c r="X22" i="1"/>
  <c r="W22" i="1"/>
  <c r="Y21" i="1"/>
  <c r="X21" i="1"/>
  <c r="W21" i="1"/>
  <c r="Y20" i="1"/>
  <c r="X20" i="1"/>
  <c r="W20" i="1"/>
  <c r="Y19" i="1"/>
  <c r="X19" i="1"/>
  <c r="W19" i="1"/>
  <c r="Y18" i="1"/>
  <c r="X18" i="1"/>
  <c r="W18" i="1"/>
  <c r="Y17" i="1"/>
  <c r="X17" i="1"/>
  <c r="W17" i="1"/>
  <c r="Y16" i="1"/>
  <c r="W16" i="1"/>
  <c r="Y15" i="1"/>
  <c r="X15" i="1"/>
  <c r="Y14" i="1"/>
  <c r="X14" i="1"/>
  <c r="W14" i="1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5" i="2"/>
  <c r="D89" i="2" l="1"/>
  <c r="D90" i="2" s="1"/>
  <c r="J11" i="1" l="1"/>
  <c r="J87" i="1" s="1"/>
  <c r="I11" i="1"/>
  <c r="H11" i="1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56" i="2"/>
  <c r="B57" i="2"/>
  <c r="B58" i="2"/>
  <c r="B59" i="2"/>
  <c r="B60" i="2"/>
  <c r="B61" i="2"/>
  <c r="B55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19" i="2"/>
  <c r="B89" i="2" l="1"/>
  <c r="I55" i="2"/>
  <c r="I54" i="2"/>
  <c r="I50" i="2"/>
  <c r="I49" i="2"/>
  <c r="I51" i="2"/>
  <c r="I48" i="2"/>
  <c r="I62" i="2"/>
  <c r="I52" i="2"/>
  <c r="I61" i="2"/>
  <c r="I60" i="2"/>
  <c r="I58" i="2"/>
  <c r="I57" i="2"/>
  <c r="I59" i="2"/>
  <c r="I53" i="2"/>
  <c r="I56" i="2"/>
  <c r="H87" i="1"/>
  <c r="H89" i="1" s="1"/>
  <c r="I87" i="1"/>
  <c r="I89" i="1" s="1"/>
  <c r="J89" i="1"/>
  <c r="B90" i="2" l="1"/>
  <c r="K20" i="2"/>
  <c r="L20" i="2" s="1"/>
  <c r="L19" i="2"/>
  <c r="K21" i="2" l="1"/>
  <c r="K22" i="2" s="1"/>
  <c r="K23" i="2" s="1"/>
  <c r="Q11" i="1"/>
  <c r="L21" i="2" l="1"/>
  <c r="L22" i="2"/>
  <c r="L23" i="2"/>
  <c r="K24" i="2"/>
  <c r="L24" i="2" l="1"/>
  <c r="K25" i="2"/>
  <c r="E27" i="2"/>
  <c r="K26" i="2" l="1"/>
  <c r="L25" i="2"/>
  <c r="K27" i="2" l="1"/>
  <c r="L26" i="2"/>
  <c r="K28" i="2" l="1"/>
  <c r="L27" i="2"/>
  <c r="L28" i="2" l="1"/>
  <c r="K29" i="2"/>
  <c r="K30" i="2" l="1"/>
  <c r="L29" i="2"/>
  <c r="C15" i="2"/>
  <c r="E1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6" i="2"/>
  <c r="E25" i="2"/>
  <c r="E24" i="2"/>
  <c r="E23" i="2"/>
  <c r="E22" i="2"/>
  <c r="E21" i="2"/>
  <c r="E20" i="2"/>
  <c r="C42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I65" i="2" s="1"/>
  <c r="C64" i="2"/>
  <c r="I64" i="2" s="1"/>
  <c r="C63" i="2"/>
  <c r="I63" i="2" s="1"/>
  <c r="C47" i="2"/>
  <c r="C46" i="2"/>
  <c r="C45" i="2"/>
  <c r="C44" i="2"/>
  <c r="C43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B15" i="2"/>
  <c r="B14" i="2"/>
  <c r="I68" i="2" l="1"/>
  <c r="I47" i="2"/>
  <c r="I82" i="2"/>
  <c r="I34" i="2"/>
  <c r="I84" i="2"/>
  <c r="I76" i="2"/>
  <c r="I75" i="2"/>
  <c r="I67" i="2"/>
  <c r="I27" i="2"/>
  <c r="I83" i="2"/>
  <c r="I35" i="2"/>
  <c r="I74" i="2"/>
  <c r="I66" i="2"/>
  <c r="I21" i="2"/>
  <c r="I44" i="2"/>
  <c r="I23" i="2"/>
  <c r="I20" i="2"/>
  <c r="I22" i="2"/>
  <c r="I30" i="2"/>
  <c r="I40" i="2"/>
  <c r="I36" i="2"/>
  <c r="I46" i="2"/>
  <c r="I38" i="2"/>
  <c r="I39" i="2"/>
  <c r="I37" i="2"/>
  <c r="I32" i="2"/>
  <c r="I31" i="2"/>
  <c r="I45" i="2"/>
  <c r="I43" i="2"/>
  <c r="I29" i="2"/>
  <c r="I42" i="2"/>
  <c r="I28" i="2"/>
  <c r="I26" i="2"/>
  <c r="I19" i="2"/>
  <c r="I69" i="2"/>
  <c r="I70" i="2"/>
  <c r="I78" i="2"/>
  <c r="I71" i="2"/>
  <c r="I79" i="2"/>
  <c r="I77" i="2"/>
  <c r="I24" i="2"/>
  <c r="I72" i="2"/>
  <c r="I80" i="2"/>
  <c r="I25" i="2"/>
  <c r="I33" i="2"/>
  <c r="I41" i="2"/>
  <c r="I73" i="2"/>
  <c r="I81" i="2"/>
  <c r="H89" i="2"/>
  <c r="E89" i="2"/>
  <c r="C89" i="2"/>
  <c r="K31" i="2"/>
  <c r="L30" i="2"/>
  <c r="I89" i="2" l="1"/>
  <c r="I91" i="2"/>
  <c r="L31" i="2"/>
  <c r="K32" i="2"/>
  <c r="H90" i="2"/>
  <c r="J20" i="2"/>
  <c r="E90" i="2"/>
  <c r="C90" i="2" l="1"/>
  <c r="I90" i="2" s="1"/>
  <c r="L32" i="2"/>
  <c r="K33" i="2"/>
  <c r="J21" i="2"/>
  <c r="J22" i="2" l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K34" i="2"/>
  <c r="L33" i="2"/>
  <c r="Q87" i="1"/>
  <c r="Q89" i="1" s="1"/>
  <c r="S11" i="1"/>
  <c r="R11" i="1"/>
  <c r="M11" i="1"/>
  <c r="L11" i="1"/>
  <c r="K11" i="1"/>
  <c r="K87" i="1" s="1"/>
  <c r="K89" i="1" s="1"/>
  <c r="G11" i="1"/>
  <c r="F11" i="1"/>
  <c r="F87" i="1" s="1"/>
  <c r="F89" i="1" s="1"/>
  <c r="E11" i="1"/>
  <c r="D11" i="1"/>
  <c r="C11" i="1"/>
  <c r="B11" i="1"/>
  <c r="J85" i="2" l="1"/>
  <c r="J86" i="2" s="1"/>
  <c r="J87" i="2" s="1"/>
  <c r="J88" i="2" s="1"/>
  <c r="S87" i="1"/>
  <c r="S89" i="1" s="1"/>
  <c r="G89" i="1"/>
  <c r="E87" i="1"/>
  <c r="E89" i="1" s="1"/>
  <c r="B87" i="1"/>
  <c r="B89" i="1" s="1"/>
  <c r="R87" i="1"/>
  <c r="R89" i="1" s="1"/>
  <c r="C87" i="1"/>
  <c r="C89" i="1" s="1"/>
  <c r="D87" i="1"/>
  <c r="D89" i="1" s="1"/>
  <c r="M87" i="1"/>
  <c r="M89" i="1" s="1"/>
  <c r="L87" i="1"/>
  <c r="L89" i="1" s="1"/>
  <c r="K35" i="2"/>
  <c r="L34" i="2"/>
  <c r="J89" i="2" l="1"/>
  <c r="J90" i="2" s="1"/>
  <c r="J91" i="2" s="1"/>
  <c r="L35" i="2"/>
  <c r="K36" i="2"/>
  <c r="L36" i="2" l="1"/>
  <c r="K37" i="2"/>
  <c r="K38" i="2" l="1"/>
  <c r="L37" i="2"/>
  <c r="K39" i="2" l="1"/>
  <c r="L38" i="2"/>
  <c r="L39" i="2" l="1"/>
  <c r="K40" i="2"/>
  <c r="L40" i="2" l="1"/>
  <c r="K41" i="2"/>
  <c r="K42" i="2" l="1"/>
  <c r="L41" i="2"/>
  <c r="K43" i="2" l="1"/>
  <c r="L42" i="2"/>
  <c r="L43" i="2" l="1"/>
  <c r="K44" i="2"/>
  <c r="L44" i="2" l="1"/>
  <c r="K45" i="2"/>
  <c r="K46" i="2" l="1"/>
  <c r="L45" i="2"/>
  <c r="K47" i="2" l="1"/>
  <c r="L46" i="2"/>
  <c r="L47" i="2" l="1"/>
  <c r="K48" i="2"/>
  <c r="L48" i="2" l="1"/>
  <c r="K49" i="2"/>
  <c r="K50" i="2" l="1"/>
  <c r="L49" i="2"/>
  <c r="L52" i="2" l="1"/>
  <c r="K51" i="2"/>
  <c r="L50" i="2"/>
  <c r="K53" i="2" l="1"/>
  <c r="L51" i="2"/>
  <c r="L53" i="2" l="1"/>
  <c r="K54" i="2"/>
  <c r="K55" i="2" l="1"/>
  <c r="L54" i="2"/>
  <c r="K56" i="2" l="1"/>
  <c r="L55" i="2"/>
  <c r="L56" i="2" l="1"/>
  <c r="K57" i="2"/>
  <c r="L57" i="2" l="1"/>
  <c r="K58" i="2"/>
  <c r="K59" i="2" l="1"/>
  <c r="L58" i="2"/>
  <c r="K60" i="2" l="1"/>
  <c r="L59" i="2"/>
  <c r="K61" i="2" l="1"/>
  <c r="L60" i="2"/>
  <c r="L61" i="2" l="1"/>
  <c r="K62" i="2"/>
  <c r="K63" i="2" l="1"/>
  <c r="L62" i="2"/>
  <c r="K64" i="2" l="1"/>
  <c r="L63" i="2"/>
  <c r="L64" i="2" l="1"/>
  <c r="K65" i="2"/>
  <c r="L65" i="2" l="1"/>
  <c r="K66" i="2"/>
  <c r="K67" i="2" l="1"/>
  <c r="L66" i="2"/>
  <c r="K68" i="2" l="1"/>
  <c r="L67" i="2"/>
  <c r="L68" i="2" l="1"/>
  <c r="K69" i="2"/>
  <c r="L69" i="2" l="1"/>
  <c r="K70" i="2"/>
  <c r="K71" i="2" l="1"/>
  <c r="L70" i="2"/>
  <c r="K72" i="2" l="1"/>
  <c r="L71" i="2"/>
  <c r="L72" i="2" l="1"/>
  <c r="K73" i="2"/>
  <c r="L73" i="2" l="1"/>
  <c r="K74" i="2"/>
  <c r="K75" i="2" l="1"/>
  <c r="L74" i="2"/>
  <c r="K76" i="2" l="1"/>
  <c r="L75" i="2"/>
  <c r="K77" i="2" l="1"/>
  <c r="L76" i="2"/>
  <c r="L77" i="2" l="1"/>
  <c r="K78" i="2"/>
  <c r="K79" i="2" l="1"/>
  <c r="L78" i="2"/>
  <c r="K80" i="2" l="1"/>
  <c r="L79" i="2"/>
  <c r="L80" i="2" l="1"/>
  <c r="K81" i="2"/>
  <c r="L81" i="2" l="1"/>
  <c r="K82" i="2"/>
  <c r="K83" i="2" l="1"/>
  <c r="L82" i="2"/>
  <c r="K84" i="2" l="1"/>
  <c r="K85" i="2" s="1"/>
  <c r="L83" i="2"/>
  <c r="K86" i="2" l="1"/>
  <c r="L85" i="2"/>
  <c r="K89" i="2"/>
  <c r="K90" i="2" s="1"/>
  <c r="L84" i="2"/>
  <c r="L86" i="2" l="1"/>
  <c r="K87" i="2"/>
  <c r="L89" i="2"/>
  <c r="K88" i="2" l="1"/>
  <c r="L88" i="2" s="1"/>
  <c r="L87" i="2"/>
  <c r="L90" i="2"/>
  <c r="K91" i="2"/>
  <c r="L91" i="2" l="1"/>
</calcChain>
</file>

<file path=xl/sharedStrings.xml><?xml version="1.0" encoding="utf-8"?>
<sst xmlns="http://schemas.openxmlformats.org/spreadsheetml/2006/main" count="318" uniqueCount="141">
  <si>
    <t>Senft</t>
  </si>
  <si>
    <t>Mexico</t>
  </si>
  <si>
    <t>Item</t>
  </si>
  <si>
    <t>MPG</t>
  </si>
  <si>
    <t>KS</t>
  </si>
  <si>
    <t>capsule color</t>
  </si>
  <si>
    <t xml:space="preserve">Industrial Code: </t>
  </si>
  <si>
    <t>PCS/carton</t>
  </si>
  <si>
    <t xml:space="preserve">Version: </t>
  </si>
  <si>
    <t>Dest. Code</t>
  </si>
  <si>
    <t>LPBA</t>
  </si>
  <si>
    <t>LPIA</t>
  </si>
  <si>
    <t>LPPA</t>
  </si>
  <si>
    <t>MXPA</t>
  </si>
  <si>
    <t xml:space="preserve">EACH: </t>
  </si>
  <si>
    <t xml:space="preserve">TOTAL QTY: </t>
  </si>
  <si>
    <t>T00</t>
  </si>
  <si>
    <t>T00</t>
    <phoneticPr fontId="2" type="noConversion"/>
  </si>
  <si>
    <t>Format</t>
  </si>
  <si>
    <t>PO No.</t>
    <phoneticPr fontId="2" type="noConversion"/>
  </si>
  <si>
    <t xml:space="preserve">Option Qty: </t>
  </si>
  <si>
    <t xml:space="preserve">Released Qty: </t>
  </si>
  <si>
    <t>No. of items</t>
  </si>
  <si>
    <t xml:space="preserve">Capsule: </t>
  </si>
  <si>
    <t>Total            (weekly)</t>
  </si>
  <si>
    <t>Date:</t>
  </si>
  <si>
    <t>Air</t>
  </si>
  <si>
    <t>Requested Weekly Output :</t>
  </si>
  <si>
    <t>Train</t>
  </si>
  <si>
    <t>Name of Family :</t>
  </si>
  <si>
    <t>RED</t>
  </si>
  <si>
    <t>Changes</t>
  </si>
  <si>
    <t>NIIGATA</t>
  </si>
  <si>
    <t>Supplier :</t>
  </si>
  <si>
    <t>BOLD</t>
  </si>
  <si>
    <t>Past Shipments</t>
  </si>
  <si>
    <t>INTERNATIONAL</t>
  </si>
  <si>
    <t>EC-Inte</t>
  </si>
  <si>
    <t>Option</t>
  </si>
  <si>
    <t>Total</t>
  </si>
  <si>
    <t>confirm</t>
  </si>
  <si>
    <t>Poland</t>
  </si>
  <si>
    <t>TOTAL KS</t>
  </si>
  <si>
    <t>Belgium</t>
  </si>
  <si>
    <t>Italy</t>
  </si>
  <si>
    <t>CUM (Total)</t>
  </si>
  <si>
    <t>Date</t>
  </si>
  <si>
    <t>NR. OF WEEK</t>
  </si>
  <si>
    <t>ASN NO.</t>
  </si>
  <si>
    <t>ETD</t>
  </si>
  <si>
    <t>ETA</t>
  </si>
  <si>
    <t>MEANS OF TRANSPORT</t>
  </si>
  <si>
    <t>SHIPPING LINE</t>
  </si>
  <si>
    <t>VESSEL NAME</t>
  </si>
  <si>
    <t>NOTE</t>
  </si>
  <si>
    <t>CONTAINER NO.</t>
  </si>
  <si>
    <t>SEAL NO.</t>
  </si>
  <si>
    <t>INVOICE NO.</t>
  </si>
  <si>
    <t>2026/42</t>
  </si>
  <si>
    <t>2026/43</t>
  </si>
  <si>
    <t>2026/44</t>
  </si>
  <si>
    <t>2026/45</t>
  </si>
  <si>
    <t>2026/46</t>
  </si>
  <si>
    <t>2026/47</t>
  </si>
  <si>
    <t>2026/48</t>
  </si>
  <si>
    <t>2026/49</t>
  </si>
  <si>
    <t>2026/50</t>
  </si>
  <si>
    <t>2026/51</t>
  </si>
  <si>
    <t>2026/52</t>
  </si>
  <si>
    <t>2027/01</t>
  </si>
  <si>
    <t>2027/02</t>
  </si>
  <si>
    <t>2027/03</t>
  </si>
  <si>
    <t>2027/04</t>
  </si>
  <si>
    <t>ISRAEL</t>
  </si>
  <si>
    <t>2027/05</t>
  </si>
  <si>
    <t>2027/06</t>
  </si>
  <si>
    <t>2026/53</t>
  </si>
  <si>
    <t>2027/07</t>
  </si>
  <si>
    <t>2027/08</t>
  </si>
  <si>
    <t>2027/09</t>
  </si>
  <si>
    <t>2027/10</t>
  </si>
  <si>
    <t>2027/11</t>
  </si>
  <si>
    <t>2027/12</t>
  </si>
  <si>
    <t>2027/13</t>
  </si>
  <si>
    <t>2027/14</t>
  </si>
  <si>
    <t>2027/15</t>
  </si>
  <si>
    <t>2027/16</t>
  </si>
  <si>
    <t>2027/17</t>
  </si>
  <si>
    <t>2027/18</t>
  </si>
  <si>
    <t>2027/19</t>
  </si>
  <si>
    <t>2027/20</t>
  </si>
  <si>
    <t>2027/21</t>
  </si>
  <si>
    <t>2027/22</t>
  </si>
  <si>
    <t>2027/23</t>
  </si>
  <si>
    <t>2027/24</t>
  </si>
  <si>
    <t>2027/25</t>
  </si>
  <si>
    <t>2027/26</t>
  </si>
  <si>
    <t>2027/27</t>
  </si>
  <si>
    <t>2027/28</t>
  </si>
  <si>
    <t>2027/29</t>
  </si>
  <si>
    <t>2027/30</t>
  </si>
  <si>
    <t>2027/31</t>
  </si>
  <si>
    <t>2027/32</t>
  </si>
  <si>
    <t>2027/33</t>
  </si>
  <si>
    <t>2027/34</t>
  </si>
  <si>
    <t>2027/35</t>
  </si>
  <si>
    <t>2027/36</t>
  </si>
  <si>
    <t>2027/37</t>
  </si>
  <si>
    <t>2027/38</t>
  </si>
  <si>
    <t>2027/39</t>
  </si>
  <si>
    <t>2027/40</t>
  </si>
  <si>
    <t>2027/41</t>
  </si>
  <si>
    <t>2027/42</t>
  </si>
  <si>
    <t>2027/43</t>
  </si>
  <si>
    <t>2027/44</t>
  </si>
  <si>
    <t>2027/45</t>
  </si>
  <si>
    <t>2027/46</t>
  </si>
  <si>
    <t>2027/47</t>
  </si>
  <si>
    <t>2027/48</t>
  </si>
  <si>
    <t>2027/49</t>
  </si>
  <si>
    <t>2027/50</t>
  </si>
  <si>
    <t>2027/51</t>
  </si>
  <si>
    <t>2027/52</t>
  </si>
  <si>
    <t>2028/01</t>
  </si>
  <si>
    <t>2028/02</t>
  </si>
  <si>
    <t>2028/03</t>
  </si>
  <si>
    <t>2028/04</t>
  </si>
  <si>
    <t>2028/05</t>
  </si>
  <si>
    <t>VZ164</t>
  </si>
  <si>
    <t>VZ171</t>
  </si>
  <si>
    <t>VZ172</t>
  </si>
  <si>
    <t xml:space="preserve"> BEAVER WOODLAND</t>
  </si>
  <si>
    <t>MOUSE WOODLAND</t>
  </si>
  <si>
    <t>RACCOON WOODLAND</t>
  </si>
  <si>
    <t>Russia</t>
  </si>
  <si>
    <t xml:space="preserve">RUPA </t>
  </si>
  <si>
    <t>Argentina</t>
  </si>
  <si>
    <t>ARPA</t>
  </si>
  <si>
    <t>2027/53</t>
  </si>
  <si>
    <t>NATOONS WOODLAND</t>
  </si>
  <si>
    <t>RUPA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</si>
</sst>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#,##0.0_);[Red]\(#,##0.0\)"/>
    <numFmt numFmtId="165" formatCode="0.0000"/>
    <numFmt numFmtId="166" formatCode="0_ "/>
    <numFmt numFmtId="167" formatCode="#,##0.0"/>
    <numFmt numFmtId="168" formatCode="0.00_);[Red]\(0.00\)"/>
    <numFmt numFmtId="169" formatCode="0.0;\-0.0;;@"/>
    <numFmt numFmtId="170" formatCode="0.000_);[Red]\(0.000\)"/>
    <numFmt numFmtId="171" formatCode="[$-F400]h:mm:ss\ AM/PM"/>
    <numFmt numFmtId="172" formatCode="0_);[Red]\(0\)"/>
    <numFmt numFmtId="173" formatCode="_(&quot;HK$&quot;* #,##0.00_);_(&quot;HK$&quot;* \(#,##0.00\);_(&quot;HK$&quot;* &quot;-&quot;??_);_(@_)"/>
    <numFmt numFmtId="174" formatCode="#,###.0;\-#,###.0;;@"/>
    <numFmt numFmtId="175" formatCode="dd/mm/yy;@"/>
    <numFmt numFmtId="176" formatCode="[$-809]d\ mmmm\ yyyy;@"/>
    <numFmt numFmtId="177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Arial"/>
      <family val="2"/>
    </font>
    <font>
      <sz val="14"/>
      <color rgb="FF0000FF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4"/>
      <name val="Arial"/>
      <family val="2"/>
    </font>
    <font>
      <sz val="12"/>
      <name val="新細明體"/>
      <family val="1"/>
      <charset val="136"/>
    </font>
    <font>
      <sz val="14"/>
      <color rgb="FFFF0000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b/>
      <sz val="14"/>
      <color rgb="FF000000"/>
      <name val="Arial"/>
      <family val="2"/>
    </font>
    <font>
      <sz val="14"/>
      <color rgb="FF00B050"/>
      <name val="Arial"/>
      <family val="2"/>
    </font>
    <font>
      <sz val="14"/>
      <color indexed="10"/>
      <name val="Arial"/>
      <family val="2"/>
    </font>
    <font>
      <sz val="14"/>
      <color indexed="12"/>
      <name val="Arial"/>
      <family val="2"/>
    </font>
    <font>
      <sz val="14"/>
      <color indexed="18"/>
      <name val="Arial"/>
      <family val="2"/>
    </font>
    <font>
      <sz val="14"/>
      <color rgb="FF3F00F0"/>
      <name val="Arial"/>
      <family val="2"/>
    </font>
    <font>
      <sz val="14"/>
      <color rgb="FF00B0F0"/>
      <name val="Arial"/>
      <family val="2"/>
    </font>
    <font>
      <b/>
      <sz val="14"/>
      <color rgb="FFFF0000"/>
      <name val="Arial"/>
      <family val="2"/>
    </font>
    <font>
      <b/>
      <sz val="14"/>
      <color rgb="FF0000FF"/>
      <name val="Arial"/>
      <family val="2"/>
    </font>
    <font>
      <b/>
      <sz val="11"/>
      <color indexed="18"/>
      <name val="Calibri"/>
      <family val="2"/>
    </font>
    <font>
      <sz val="11"/>
      <name val="Calibri"/>
      <family val="2"/>
    </font>
    <font>
      <sz val="11"/>
      <color indexed="18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sz val="20"/>
      <color theme="1"/>
      <name val="Arial"/>
      <family val="2"/>
    </font>
    <font>
      <b/>
      <sz val="14"/>
      <color rgb="FF3F00F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</fills>
  <borders count="55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double">
        <color auto="1"/>
      </right>
      <top style="thin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/>
      <diagonal/>
    </border>
    <border>
      <left/>
      <right style="double">
        <color auto="1"/>
      </right>
      <top style="hair">
        <color auto="1"/>
      </top>
      <bottom style="medium">
        <color auto="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7" fillId="0" borderId="0">
      <alignment vertical="center"/>
    </xf>
    <xf numFmtId="173" fontId="7" fillId="0" borderId="0" applyFont="0" applyFill="0" applyBorder="0" applyAlignment="0" applyProtection="0">
      <alignment vertical="center"/>
    </xf>
    <xf numFmtId="0" fontId="1" fillId="0" borderId="0"/>
  </cellStyleXfs>
  <cellXfs count="234">
    <xf numFmtId="0" fontId="0" fillId="0" borderId="0" xfId="0"/>
    <xf numFmtId="43" fontId="4" fillId="0" borderId="0" xfId="1" applyFont="1" applyFill="1" applyBorder="1" applyAlignment="1">
      <alignment horizontal="center" vertical="center" shrinkToFit="1"/>
    </xf>
    <xf numFmtId="169" fontId="6" fillId="0" borderId="0" xfId="0" applyNumberFormat="1" applyFont="1" applyAlignment="1">
      <alignment horizontal="center" vertical="center" shrinkToFit="1"/>
    </xf>
    <xf numFmtId="171" fontId="4" fillId="0" borderId="12" xfId="0" applyNumberFormat="1" applyFont="1" applyBorder="1" applyAlignment="1">
      <alignment horizontal="center" vertical="center" shrinkToFit="1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43" fontId="4" fillId="0" borderId="0" xfId="1" applyFont="1" applyFill="1" applyAlignment="1">
      <alignment horizontal="center" vertical="center" shrinkToFit="1"/>
    </xf>
    <xf numFmtId="43" fontId="4" fillId="2" borderId="1" xfId="1" applyFont="1" applyFill="1" applyBorder="1" applyAlignment="1">
      <alignment horizontal="center" vertical="center" shrinkToFit="1"/>
    </xf>
    <xf numFmtId="43" fontId="4" fillId="2" borderId="2" xfId="1" applyFont="1" applyFill="1" applyBorder="1" applyAlignment="1">
      <alignment horizontal="center" vertical="center" shrinkToFit="1"/>
    </xf>
    <xf numFmtId="170" fontId="8" fillId="0" borderId="0" xfId="0" applyNumberFormat="1" applyFont="1" applyAlignment="1">
      <alignment horizontal="center" vertical="center" shrinkToFit="1"/>
    </xf>
    <xf numFmtId="167" fontId="8" fillId="2" borderId="1" xfId="0" applyNumberFormat="1" applyFont="1" applyFill="1" applyBorder="1" applyAlignment="1">
      <alignment horizontal="center" vertical="center" shrinkToFit="1"/>
    </xf>
    <xf numFmtId="167" fontId="8" fillId="2" borderId="2" xfId="0" applyNumberFormat="1" applyFont="1" applyFill="1" applyBorder="1" applyAlignment="1">
      <alignment horizontal="center" vertical="center" shrinkToFit="1"/>
    </xf>
    <xf numFmtId="170" fontId="3" fillId="0" borderId="0" xfId="0" applyNumberFormat="1" applyFont="1" applyAlignment="1">
      <alignment horizontal="center" vertical="center" shrinkToFit="1"/>
    </xf>
    <xf numFmtId="167" fontId="3" fillId="2" borderId="1" xfId="0" applyNumberFormat="1" applyFont="1" applyFill="1" applyBorder="1" applyAlignment="1">
      <alignment horizontal="center" vertical="center" shrinkToFit="1"/>
    </xf>
    <xf numFmtId="167" fontId="3" fillId="2" borderId="2" xfId="0" applyNumberFormat="1" applyFont="1" applyFill="1" applyBorder="1" applyAlignment="1">
      <alignment horizontal="center" vertical="center" shrinkToFit="1"/>
    </xf>
    <xf numFmtId="170" fontId="4" fillId="0" borderId="0" xfId="0" applyNumberFormat="1" applyFont="1" applyAlignment="1">
      <alignment horizontal="center" vertical="center" shrinkToFit="1"/>
    </xf>
    <xf numFmtId="167" fontId="4" fillId="2" borderId="1" xfId="0" applyNumberFormat="1" applyFont="1" applyFill="1" applyBorder="1" applyAlignment="1">
      <alignment horizontal="center" vertical="center" shrinkToFit="1"/>
    </xf>
    <xf numFmtId="167" fontId="4" fillId="2" borderId="2" xfId="0" applyNumberFormat="1" applyFont="1" applyFill="1" applyBorder="1" applyAlignment="1">
      <alignment horizontal="center" vertical="center" shrinkToFit="1"/>
    </xf>
    <xf numFmtId="166" fontId="4" fillId="2" borderId="1" xfId="0" applyNumberFormat="1" applyFont="1" applyFill="1" applyBorder="1" applyAlignment="1">
      <alignment horizontal="center" vertical="center" shrinkToFit="1"/>
    </xf>
    <xf numFmtId="166" fontId="4" fillId="2" borderId="2" xfId="0" applyNumberFormat="1" applyFont="1" applyFill="1" applyBorder="1" applyAlignment="1">
      <alignment horizontal="center" vertical="center" shrinkToFit="1"/>
    </xf>
    <xf numFmtId="174" fontId="5" fillId="7" borderId="6" xfId="0" applyNumberFormat="1" applyFont="1" applyFill="1" applyBorder="1" applyAlignment="1">
      <alignment horizontal="center" vertical="center" shrinkToFit="1"/>
    </xf>
    <xf numFmtId="174" fontId="5" fillId="7" borderId="8" xfId="0" applyNumberFormat="1" applyFont="1" applyFill="1" applyBorder="1" applyAlignment="1">
      <alignment horizontal="center" vertical="center" shrinkToFit="1"/>
    </xf>
    <xf numFmtId="174" fontId="3" fillId="7" borderId="7" xfId="0" applyNumberFormat="1" applyFont="1" applyFill="1" applyBorder="1" applyAlignment="1">
      <alignment horizontal="center" vertical="center" shrinkToFit="1"/>
    </xf>
    <xf numFmtId="174" fontId="3" fillId="7" borderId="8" xfId="0" applyNumberFormat="1" applyFont="1" applyFill="1" applyBorder="1" applyAlignment="1">
      <alignment horizontal="center" vertical="center" shrinkToFit="1"/>
    </xf>
    <xf numFmtId="174" fontId="11" fillId="0" borderId="9" xfId="0" applyNumberFormat="1" applyFont="1" applyBorder="1" applyAlignment="1">
      <alignment horizontal="center" vertical="center" shrinkToFit="1"/>
    </xf>
    <xf numFmtId="174" fontId="11" fillId="0" borderId="10" xfId="0" applyNumberFormat="1" applyFont="1" applyBorder="1" applyAlignment="1">
      <alignment horizontal="center" vertical="center" shrinkToFit="1"/>
    </xf>
    <xf numFmtId="165" fontId="4" fillId="2" borderId="1" xfId="0" applyNumberFormat="1" applyFont="1" applyFill="1" applyBorder="1" applyAlignment="1">
      <alignment horizontal="center" vertical="center" shrinkToFit="1"/>
    </xf>
    <xf numFmtId="165" fontId="4" fillId="2" borderId="2" xfId="0" applyNumberFormat="1" applyFont="1" applyFill="1" applyBorder="1" applyAlignment="1">
      <alignment horizontal="center" vertical="center" shrinkToFit="1"/>
    </xf>
    <xf numFmtId="0" fontId="10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8" fillId="0" borderId="2" xfId="3" applyFont="1" applyBorder="1" applyAlignment="1">
      <alignment horizontal="center" vertical="center"/>
    </xf>
    <xf numFmtId="0" fontId="10" fillId="0" borderId="0" xfId="3" quotePrefix="1" applyFont="1" applyAlignment="1">
      <alignment horizontal="center" vertical="center"/>
    </xf>
    <xf numFmtId="0" fontId="12" fillId="5" borderId="2" xfId="3" applyFont="1" applyFill="1" applyBorder="1" applyAlignment="1">
      <alignment horizontal="center" vertical="center"/>
    </xf>
    <xf numFmtId="0" fontId="10" fillId="3" borderId="2" xfId="3" applyFont="1" applyFill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174" fontId="6" fillId="0" borderId="2" xfId="3" applyNumberFormat="1" applyFont="1" applyBorder="1" applyAlignment="1">
      <alignment horizontal="center" vertical="center" wrapText="1"/>
    </xf>
    <xf numFmtId="174" fontId="10" fillId="0" borderId="2" xfId="3" applyNumberFormat="1" applyFont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174" fontId="4" fillId="0" borderId="2" xfId="3" applyNumberFormat="1" applyFont="1" applyBorder="1" applyAlignment="1">
      <alignment horizontal="center" vertical="center"/>
    </xf>
    <xf numFmtId="0" fontId="8" fillId="0" borderId="0" xfId="3" applyFont="1" applyAlignment="1">
      <alignment horizontal="center" vertical="center"/>
    </xf>
    <xf numFmtId="174" fontId="8" fillId="0" borderId="2" xfId="3" applyNumberFormat="1" applyFont="1" applyBorder="1" applyAlignment="1">
      <alignment horizontal="center" vertical="center" shrinkToFit="1"/>
    </xf>
    <xf numFmtId="0" fontId="16" fillId="0" borderId="0" xfId="3" applyFont="1" applyAlignment="1">
      <alignment horizontal="center" vertical="center"/>
    </xf>
    <xf numFmtId="174" fontId="16" fillId="6" borderId="2" xfId="3" applyNumberFormat="1" applyFont="1" applyFill="1" applyBorder="1" applyAlignment="1">
      <alignment horizontal="center" vertical="center" shrinkToFit="1"/>
    </xf>
    <xf numFmtId="0" fontId="17" fillId="0" borderId="0" xfId="3" applyFont="1" applyAlignment="1">
      <alignment horizontal="center" vertical="center"/>
    </xf>
    <xf numFmtId="174" fontId="10" fillId="0" borderId="2" xfId="3" applyNumberFormat="1" applyFont="1" applyBorder="1" applyAlignment="1">
      <alignment horizontal="center" vertical="center" shrinkToFit="1"/>
    </xf>
    <xf numFmtId="0" fontId="15" fillId="0" borderId="0" xfId="3" applyFont="1" applyAlignment="1">
      <alignment horizontal="center" vertical="center"/>
    </xf>
    <xf numFmtId="174" fontId="5" fillId="7" borderId="16" xfId="3" applyNumberFormat="1" applyFont="1" applyFill="1" applyBorder="1" applyAlignment="1">
      <alignment horizontal="center" vertical="center"/>
    </xf>
    <xf numFmtId="174" fontId="5" fillId="7" borderId="8" xfId="3" applyNumberFormat="1" applyFont="1" applyFill="1" applyBorder="1" applyAlignment="1">
      <alignment horizontal="center" vertical="center"/>
    </xf>
    <xf numFmtId="174" fontId="3" fillId="7" borderId="8" xfId="3" applyNumberFormat="1" applyFont="1" applyFill="1" applyBorder="1" applyAlignment="1">
      <alignment horizontal="center" vertical="center"/>
    </xf>
    <xf numFmtId="172" fontId="9" fillId="0" borderId="2" xfId="3" applyNumberFormat="1" applyFont="1" applyBorder="1" applyAlignment="1">
      <alignment horizontal="center" vertical="center"/>
    </xf>
    <xf numFmtId="174" fontId="9" fillId="0" borderId="2" xfId="3" applyNumberFormat="1" applyFont="1" applyBorder="1" applyAlignment="1">
      <alignment horizontal="center" vertical="center"/>
    </xf>
    <xf numFmtId="0" fontId="9" fillId="0" borderId="2" xfId="3" applyFont="1" applyBorder="1" applyAlignment="1">
      <alignment horizontal="center" vertical="center"/>
    </xf>
    <xf numFmtId="174" fontId="6" fillId="0" borderId="2" xfId="3" applyNumberFormat="1" applyFont="1" applyBorder="1" applyAlignment="1">
      <alignment horizontal="center" vertical="center" shrinkToFit="1"/>
    </xf>
    <xf numFmtId="0" fontId="6" fillId="0" borderId="0" xfId="3" applyFont="1" applyAlignment="1">
      <alignment horizontal="center" vertical="center"/>
    </xf>
    <xf numFmtId="0" fontId="6" fillId="0" borderId="0" xfId="4" applyNumberFormat="1" applyFont="1" applyAlignment="1">
      <alignment horizontal="center" vertical="center"/>
    </xf>
    <xf numFmtId="14" fontId="6" fillId="0" borderId="0" xfId="3" applyNumberFormat="1" applyFont="1" applyAlignment="1">
      <alignment horizontal="center" vertical="center"/>
    </xf>
    <xf numFmtId="174" fontId="6" fillId="0" borderId="8" xfId="3" applyNumberFormat="1" applyFont="1" applyBorder="1" applyAlignment="1">
      <alignment horizontal="center" vertical="center"/>
    </xf>
    <xf numFmtId="174" fontId="9" fillId="0" borderId="8" xfId="3" applyNumberFormat="1" applyFont="1" applyBorder="1" applyAlignment="1">
      <alignment horizontal="center" vertical="center"/>
    </xf>
    <xf numFmtId="174" fontId="18" fillId="0" borderId="8" xfId="3" applyNumberFormat="1" applyFont="1" applyBorder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2" borderId="1" xfId="0" applyNumberFormat="1" applyFont="1" applyFill="1" applyBorder="1" applyAlignment="1">
      <alignment horizontal="center" vertical="center" shrinkToFit="1"/>
    </xf>
    <xf numFmtId="165" fontId="9" fillId="2" borderId="2" xfId="0" applyNumberFormat="1" applyFont="1" applyFill="1" applyBorder="1" applyAlignment="1">
      <alignment horizontal="center" vertical="center" shrinkToFit="1"/>
    </xf>
    <xf numFmtId="43" fontId="9" fillId="2" borderId="1" xfId="1" applyFont="1" applyFill="1" applyBorder="1" applyAlignment="1">
      <alignment horizontal="center" vertical="center" shrinkToFit="1"/>
    </xf>
    <xf numFmtId="43" fontId="9" fillId="2" borderId="2" xfId="1" applyFont="1" applyFill="1" applyBorder="1" applyAlignment="1">
      <alignment horizontal="center" vertical="center" shrinkToFit="1"/>
    </xf>
    <xf numFmtId="167" fontId="18" fillId="2" borderId="1" xfId="0" applyNumberFormat="1" applyFont="1" applyFill="1" applyBorder="1" applyAlignment="1">
      <alignment horizontal="center" vertical="center" shrinkToFit="1"/>
    </xf>
    <xf numFmtId="167" fontId="18" fillId="2" borderId="2" xfId="0" applyNumberFormat="1" applyFont="1" applyFill="1" applyBorder="1" applyAlignment="1">
      <alignment horizontal="center" vertical="center" shrinkToFit="1"/>
    </xf>
    <xf numFmtId="167" fontId="19" fillId="2" borderId="2" xfId="0" applyNumberFormat="1" applyFont="1" applyFill="1" applyBorder="1" applyAlignment="1">
      <alignment horizontal="center" vertical="center" shrinkToFit="1"/>
    </xf>
    <xf numFmtId="167" fontId="9" fillId="2" borderId="1" xfId="0" applyNumberFormat="1" applyFont="1" applyFill="1" applyBorder="1" applyAlignment="1">
      <alignment horizontal="center" vertical="center" shrinkToFit="1"/>
    </xf>
    <xf numFmtId="167" fontId="9" fillId="2" borderId="2" xfId="0" applyNumberFormat="1" applyFont="1" applyFill="1" applyBorder="1" applyAlignment="1">
      <alignment horizontal="center" vertical="center" shrinkToFit="1"/>
    </xf>
    <xf numFmtId="166" fontId="9" fillId="2" borderId="1" xfId="0" applyNumberFormat="1" applyFont="1" applyFill="1" applyBorder="1" applyAlignment="1">
      <alignment horizontal="center" vertical="center" shrinkToFit="1"/>
    </xf>
    <xf numFmtId="166" fontId="9" fillId="2" borderId="2" xfId="0" applyNumberFormat="1" applyFont="1" applyFill="1" applyBorder="1" applyAlignment="1">
      <alignment horizontal="center" vertical="center" shrinkToFit="1"/>
    </xf>
    <xf numFmtId="168" fontId="6" fillId="2" borderId="3" xfId="0" applyNumberFormat="1" applyFont="1" applyFill="1" applyBorder="1" applyAlignment="1">
      <alignment horizontal="center" vertical="center" shrinkToFit="1"/>
    </xf>
    <xf numFmtId="168" fontId="6" fillId="2" borderId="4" xfId="0" applyNumberFormat="1" applyFont="1" applyFill="1" applyBorder="1" applyAlignment="1">
      <alignment horizontal="center" vertical="center" shrinkToFit="1"/>
    </xf>
    <xf numFmtId="168" fontId="6" fillId="2" borderId="11" xfId="0" applyNumberFormat="1" applyFont="1" applyFill="1" applyBorder="1" applyAlignment="1">
      <alignment horizontal="center" vertical="center" shrinkToFit="1"/>
    </xf>
    <xf numFmtId="174" fontId="11" fillId="0" borderId="5" xfId="0" applyNumberFormat="1" applyFont="1" applyBorder="1" applyAlignment="1">
      <alignment horizontal="center" vertical="center" shrinkToFit="1"/>
    </xf>
    <xf numFmtId="174" fontId="11" fillId="0" borderId="6" xfId="0" applyNumberFormat="1" applyFont="1" applyBorder="1" applyAlignment="1">
      <alignment horizontal="center" vertical="center" shrinkToFit="1"/>
    </xf>
    <xf numFmtId="174" fontId="11" fillId="0" borderId="7" xfId="0" applyNumberFormat="1" applyFont="1" applyBorder="1" applyAlignment="1">
      <alignment horizontal="center" vertical="center" shrinkToFit="1"/>
    </xf>
    <xf numFmtId="174" fontId="11" fillId="0" borderId="8" xfId="0" applyNumberFormat="1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43" fontId="9" fillId="0" borderId="0" xfId="1" applyFont="1" applyFill="1" applyBorder="1" applyAlignment="1">
      <alignment horizontal="center" vertical="center" shrinkToFit="1"/>
    </xf>
    <xf numFmtId="170" fontId="9" fillId="0" borderId="0" xfId="0" applyNumberFormat="1" applyFont="1" applyAlignment="1">
      <alignment horizontal="center" vertical="center"/>
    </xf>
    <xf numFmtId="165" fontId="9" fillId="2" borderId="17" xfId="0" applyNumberFormat="1" applyFont="1" applyFill="1" applyBorder="1" applyAlignment="1">
      <alignment horizontal="center" vertical="center" shrinkToFit="1"/>
    </xf>
    <xf numFmtId="43" fontId="9" fillId="2" borderId="17" xfId="1" applyFont="1" applyFill="1" applyBorder="1" applyAlignment="1">
      <alignment horizontal="center" vertical="center" shrinkToFit="1"/>
    </xf>
    <xf numFmtId="167" fontId="18" fillId="2" borderId="17" xfId="0" applyNumberFormat="1" applyFont="1" applyFill="1" applyBorder="1" applyAlignment="1">
      <alignment horizontal="center" vertical="center" shrinkToFit="1"/>
    </xf>
    <xf numFmtId="167" fontId="19" fillId="2" borderId="17" xfId="0" applyNumberFormat="1" applyFont="1" applyFill="1" applyBorder="1" applyAlignment="1">
      <alignment horizontal="center" vertical="center" shrinkToFit="1"/>
    </xf>
    <xf numFmtId="167" fontId="9" fillId="2" borderId="17" xfId="0" applyNumberFormat="1" applyFont="1" applyFill="1" applyBorder="1" applyAlignment="1">
      <alignment horizontal="center" vertical="center" shrinkToFit="1"/>
    </xf>
    <xf numFmtId="166" fontId="9" fillId="2" borderId="17" xfId="0" applyNumberFormat="1" applyFont="1" applyFill="1" applyBorder="1" applyAlignment="1">
      <alignment horizontal="center" vertical="center" shrinkToFit="1"/>
    </xf>
    <xf numFmtId="174" fontId="11" fillId="0" borderId="18" xfId="0" applyNumberFormat="1" applyFont="1" applyBorder="1" applyAlignment="1">
      <alignment horizontal="center" vertical="center" shrinkToFit="1"/>
    </xf>
    <xf numFmtId="174" fontId="11" fillId="0" borderId="19" xfId="0" applyNumberFormat="1" applyFont="1" applyBorder="1" applyAlignment="1">
      <alignment horizontal="center" vertical="center" shrinkToFit="1"/>
    </xf>
    <xf numFmtId="16" fontId="0" fillId="3" borderId="0" xfId="0" applyNumberFormat="1" applyFill="1"/>
    <xf numFmtId="167" fontId="8" fillId="2" borderId="3" xfId="0" applyNumberFormat="1" applyFont="1" applyFill="1" applyBorder="1" applyAlignment="1">
      <alignment horizontal="center" vertical="center" shrinkToFit="1"/>
    </xf>
    <xf numFmtId="167" fontId="3" fillId="2" borderId="3" xfId="0" applyNumberFormat="1" applyFont="1" applyFill="1" applyBorder="1" applyAlignment="1">
      <alignment horizontal="center" vertical="center" shrinkToFit="1"/>
    </xf>
    <xf numFmtId="167" fontId="8" fillId="2" borderId="4" xfId="0" applyNumberFormat="1" applyFont="1" applyFill="1" applyBorder="1" applyAlignment="1">
      <alignment horizontal="center" vertical="center" shrinkToFit="1"/>
    </xf>
    <xf numFmtId="167" fontId="3" fillId="2" borderId="4" xfId="0" applyNumberFormat="1" applyFont="1" applyFill="1" applyBorder="1" applyAlignment="1">
      <alignment horizontal="center" vertical="center" shrinkToFit="1"/>
    </xf>
    <xf numFmtId="172" fontId="23" fillId="0" borderId="2" xfId="0" applyNumberFormat="1" applyFont="1" applyBorder="1" applyAlignment="1">
      <alignment horizontal="center"/>
    </xf>
    <xf numFmtId="14" fontId="21" fillId="0" borderId="30" xfId="0" applyNumberFormat="1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/>
    </xf>
    <xf numFmtId="1" fontId="21" fillId="0" borderId="30" xfId="0" applyNumberFormat="1" applyFont="1" applyBorder="1" applyAlignment="1">
      <alignment horizontal="center"/>
    </xf>
    <xf numFmtId="175" fontId="21" fillId="0" borderId="30" xfId="0" applyNumberFormat="1" applyFont="1" applyBorder="1" applyAlignment="1">
      <alignment horizontal="center"/>
    </xf>
    <xf numFmtId="0" fontId="21" fillId="0" borderId="30" xfId="0" applyFont="1" applyBorder="1" applyAlignment="1">
      <alignment horizontal="center" shrinkToFit="1"/>
    </xf>
    <xf numFmtId="0" fontId="21" fillId="0" borderId="35" xfId="0" applyFont="1" applyBorder="1" applyAlignment="1">
      <alignment horizontal="center" shrinkToFit="1"/>
    </xf>
    <xf numFmtId="0" fontId="21" fillId="0" borderId="31" xfId="0" applyFont="1" applyBorder="1" applyAlignment="1">
      <alignment horizontal="center" shrinkToFit="1"/>
    </xf>
    <xf numFmtId="0" fontId="21" fillId="0" borderId="2" xfId="0" applyFont="1" applyBorder="1" applyAlignment="1">
      <alignment horizontal="center" shrinkToFit="1"/>
    </xf>
    <xf numFmtId="0" fontId="21" fillId="0" borderId="2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0" borderId="2" xfId="0" applyFont="1" applyBorder="1" applyAlignment="1">
      <alignment vertical="center"/>
    </xf>
    <xf numFmtId="0" fontId="21" fillId="0" borderId="30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3" fillId="0" borderId="0" xfId="0" quotePrefix="1" applyFont="1" applyAlignment="1">
      <alignment horizontal="left" vertical="center"/>
    </xf>
    <xf numFmtId="176" fontId="21" fillId="0" borderId="0" xfId="4" applyNumberFormat="1" applyFont="1" applyAlignment="1">
      <alignment horizontal="center" vertical="center"/>
    </xf>
    <xf numFmtId="0" fontId="21" fillId="0" borderId="36" xfId="0" applyFont="1" applyBorder="1" applyAlignment="1">
      <alignment horizontal="center"/>
    </xf>
    <xf numFmtId="0" fontId="23" fillId="0" borderId="37" xfId="0" applyFont="1" applyBorder="1" applyAlignment="1">
      <alignment vertical="center"/>
    </xf>
    <xf numFmtId="0" fontId="23" fillId="0" borderId="20" xfId="0" applyFont="1" applyBorder="1" applyAlignment="1">
      <alignment vertical="center"/>
    </xf>
    <xf numFmtId="0" fontId="21" fillId="0" borderId="20" xfId="0" applyFont="1" applyBorder="1" applyAlignment="1">
      <alignment vertical="center"/>
    </xf>
    <xf numFmtId="0" fontId="21" fillId="0" borderId="36" xfId="0" applyFont="1" applyBorder="1" applyAlignment="1">
      <alignment vertical="center"/>
    </xf>
    <xf numFmtId="0" fontId="22" fillId="0" borderId="0" xfId="0" applyFont="1" applyAlignment="1">
      <alignment wrapText="1"/>
    </xf>
    <xf numFmtId="1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2" fillId="0" borderId="0" xfId="0" applyNumberFormat="1" applyFont="1" applyAlignment="1">
      <alignment horizontal="right"/>
    </xf>
    <xf numFmtId="177" fontId="23" fillId="0" borderId="22" xfId="0" applyNumberFormat="1" applyFont="1" applyBorder="1" applyAlignment="1">
      <alignment horizontal="center"/>
    </xf>
    <xf numFmtId="165" fontId="20" fillId="0" borderId="22" xfId="0" applyNumberFormat="1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quotePrefix="1" applyFont="1"/>
    <xf numFmtId="172" fontId="23" fillId="0" borderId="30" xfId="0" applyNumberFormat="1" applyFont="1" applyBorder="1" applyAlignment="1">
      <alignment horizontal="center"/>
    </xf>
    <xf numFmtId="0" fontId="10" fillId="0" borderId="21" xfId="3" applyFont="1" applyBorder="1" applyAlignment="1">
      <alignment horizontal="center" vertical="center"/>
    </xf>
    <xf numFmtId="174" fontId="11" fillId="0" borderId="38" xfId="0" applyNumberFormat="1" applyFont="1" applyBorder="1" applyAlignment="1">
      <alignment horizontal="center" vertical="center" shrinkToFit="1"/>
    </xf>
    <xf numFmtId="0" fontId="12" fillId="0" borderId="0" xfId="3" applyFont="1" applyAlignment="1">
      <alignment horizontal="center" vertical="center"/>
    </xf>
    <xf numFmtId="174" fontId="5" fillId="7" borderId="5" xfId="0" applyNumberFormat="1" applyFont="1" applyFill="1" applyBorder="1" applyAlignment="1">
      <alignment horizontal="center" vertical="center" shrinkToFit="1"/>
    </xf>
    <xf numFmtId="174" fontId="5" fillId="7" borderId="7" xfId="0" applyNumberFormat="1" applyFont="1" applyFill="1" applyBorder="1" applyAlignment="1">
      <alignment horizontal="center" vertical="center" shrinkToFit="1"/>
    </xf>
    <xf numFmtId="177" fontId="2" fillId="0" borderId="0" xfId="1" applyNumberFormat="1" applyFont="1" applyFill="1" applyBorder="1" applyAlignment="1">
      <alignment horizontal="center" vertical="center" shrinkToFit="1"/>
    </xf>
    <xf numFmtId="177" fontId="2" fillId="0" borderId="0" xfId="5" applyNumberFormat="1" applyFont="1" applyAlignment="1">
      <alignment horizontal="center" vertical="center"/>
    </xf>
    <xf numFmtId="43" fontId="2" fillId="0" borderId="0" xfId="1" applyFont="1" applyFill="1" applyBorder="1" applyAlignment="1">
      <alignment horizontal="center" vertical="center" shrinkToFit="1"/>
    </xf>
    <xf numFmtId="177" fontId="2" fillId="0" borderId="0" xfId="0" applyNumberFormat="1" applyFont="1" applyAlignment="1">
      <alignment horizontal="center" vertical="center"/>
    </xf>
    <xf numFmtId="174" fontId="4" fillId="7" borderId="8" xfId="3" applyNumberFormat="1" applyFont="1" applyFill="1" applyBorder="1" applyAlignment="1">
      <alignment horizontal="center" vertical="center"/>
    </xf>
    <xf numFmtId="174" fontId="4" fillId="0" borderId="8" xfId="3" applyNumberFormat="1" applyFont="1" applyBorder="1" applyAlignment="1">
      <alignment horizontal="center" vertical="center"/>
    </xf>
    <xf numFmtId="43" fontId="4" fillId="2" borderId="17" xfId="1" applyFont="1" applyFill="1" applyBorder="1" applyAlignment="1">
      <alignment horizontal="center" vertical="center" shrinkToFit="1"/>
    </xf>
    <xf numFmtId="165" fontId="4" fillId="2" borderId="17" xfId="0" applyNumberFormat="1" applyFont="1" applyFill="1" applyBorder="1" applyAlignment="1">
      <alignment horizontal="center" vertical="center" shrinkToFit="1"/>
    </xf>
    <xf numFmtId="166" fontId="4" fillId="2" borderId="17" xfId="0" applyNumberFormat="1" applyFont="1" applyFill="1" applyBorder="1" applyAlignment="1">
      <alignment horizontal="center" vertical="center" shrinkToFit="1"/>
    </xf>
    <xf numFmtId="174" fontId="3" fillId="0" borderId="45" xfId="0" applyNumberFormat="1" applyFont="1" applyBorder="1" applyAlignment="1">
      <alignment horizontal="center" vertical="center" shrinkToFit="1"/>
    </xf>
    <xf numFmtId="174" fontId="3" fillId="0" borderId="40" xfId="0" applyNumberFormat="1" applyFont="1" applyBorder="1" applyAlignment="1">
      <alignment horizontal="center" vertical="center" shrinkToFit="1"/>
    </xf>
    <xf numFmtId="174" fontId="5" fillId="7" borderId="45" xfId="0" applyNumberFormat="1" applyFont="1" applyFill="1" applyBorder="1" applyAlignment="1">
      <alignment horizontal="center" vertical="center" shrinkToFit="1"/>
    </xf>
    <xf numFmtId="174" fontId="5" fillId="7" borderId="40" xfId="0" applyNumberFormat="1" applyFont="1" applyFill="1" applyBorder="1" applyAlignment="1">
      <alignment horizontal="center" vertical="center" shrinkToFit="1"/>
    </xf>
    <xf numFmtId="165" fontId="25" fillId="2" borderId="1" xfId="0" applyNumberFormat="1" applyFont="1" applyFill="1" applyBorder="1" applyAlignment="1">
      <alignment horizontal="center" vertical="center" shrinkToFit="1"/>
    </xf>
    <xf numFmtId="165" fontId="25" fillId="2" borderId="2" xfId="0" applyNumberFormat="1" applyFont="1" applyFill="1" applyBorder="1" applyAlignment="1">
      <alignment horizontal="center" vertical="center" shrinkToFit="1"/>
    </xf>
    <xf numFmtId="166" fontId="4" fillId="2" borderId="3" xfId="0" applyNumberFormat="1" applyFont="1" applyFill="1" applyBorder="1" applyAlignment="1">
      <alignment horizontal="center" vertical="center" shrinkToFit="1"/>
    </xf>
    <xf numFmtId="166" fontId="4" fillId="2" borderId="39" xfId="0" applyNumberFormat="1" applyFont="1" applyFill="1" applyBorder="1" applyAlignment="1">
      <alignment horizontal="center" vertical="center" shrinkToFit="1"/>
    </xf>
    <xf numFmtId="174" fontId="5" fillId="7" borderId="46" xfId="0" applyNumberFormat="1" applyFont="1" applyFill="1" applyBorder="1" applyAlignment="1">
      <alignment horizontal="center" vertical="center" shrinkToFit="1"/>
    </xf>
    <xf numFmtId="174" fontId="5" fillId="7" borderId="47" xfId="0" applyNumberFormat="1" applyFont="1" applyFill="1" applyBorder="1" applyAlignment="1">
      <alignment horizontal="center" vertical="center" shrinkToFit="1"/>
    </xf>
    <xf numFmtId="174" fontId="5" fillId="7" borderId="48" xfId="0" applyNumberFormat="1" applyFont="1" applyFill="1" applyBorder="1" applyAlignment="1">
      <alignment horizontal="center" vertical="center" shrinkToFit="1"/>
    </xf>
    <xf numFmtId="174" fontId="3" fillId="0" borderId="48" xfId="0" applyNumberFormat="1" applyFont="1" applyBorder="1" applyAlignment="1">
      <alignment horizontal="center" vertical="center" shrinkToFit="1"/>
    </xf>
    <xf numFmtId="174" fontId="11" fillId="0" borderId="49" xfId="0" applyNumberFormat="1" applyFont="1" applyBorder="1" applyAlignment="1">
      <alignment horizontal="center" vertical="center" shrinkToFit="1"/>
    </xf>
    <xf numFmtId="174" fontId="3" fillId="7" borderId="47" xfId="0" applyNumberFormat="1" applyFont="1" applyFill="1" applyBorder="1" applyAlignment="1">
      <alignment horizontal="center" vertical="center" shrinkToFit="1"/>
    </xf>
    <xf numFmtId="165" fontId="25" fillId="2" borderId="41" xfId="0" applyNumberFormat="1" applyFont="1" applyFill="1" applyBorder="1" applyAlignment="1">
      <alignment horizontal="center" vertical="center" shrinkToFit="1"/>
    </xf>
    <xf numFmtId="165" fontId="4" fillId="2" borderId="41" xfId="0" applyNumberFormat="1" applyFont="1" applyFill="1" applyBorder="1" applyAlignment="1">
      <alignment horizontal="center" vertical="center" shrinkToFit="1"/>
    </xf>
    <xf numFmtId="43" fontId="4" fillId="2" borderId="41" xfId="1" applyFont="1" applyFill="1" applyBorder="1" applyAlignment="1">
      <alignment horizontal="center" vertical="center" shrinkToFit="1"/>
    </xf>
    <xf numFmtId="167" fontId="4" fillId="2" borderId="41" xfId="0" applyNumberFormat="1" applyFont="1" applyFill="1" applyBorder="1" applyAlignment="1">
      <alignment horizontal="center" vertical="center" shrinkToFit="1"/>
    </xf>
    <xf numFmtId="166" fontId="4" fillId="2" borderId="41" xfId="0" applyNumberFormat="1" applyFont="1" applyFill="1" applyBorder="1" applyAlignment="1">
      <alignment horizontal="center" vertical="center" shrinkToFit="1"/>
    </xf>
    <xf numFmtId="174" fontId="5" fillId="7" borderId="42" xfId="0" applyNumberFormat="1" applyFont="1" applyFill="1" applyBorder="1" applyAlignment="1">
      <alignment horizontal="center" vertical="center" shrinkToFit="1"/>
    </xf>
    <xf numFmtId="174" fontId="5" fillId="7" borderId="43" xfId="0" applyNumberFormat="1" applyFont="1" applyFill="1" applyBorder="1" applyAlignment="1">
      <alignment horizontal="center" vertical="center" shrinkToFit="1"/>
    </xf>
    <xf numFmtId="174" fontId="5" fillId="7" borderId="50" xfId="0" applyNumberFormat="1" applyFont="1" applyFill="1" applyBorder="1" applyAlignment="1">
      <alignment horizontal="center" vertical="center" shrinkToFit="1"/>
    </xf>
    <xf numFmtId="174" fontId="3" fillId="0" borderId="50" xfId="0" applyNumberFormat="1" applyFont="1" applyBorder="1" applyAlignment="1">
      <alignment horizontal="center" vertical="center" shrinkToFit="1"/>
    </xf>
    <xf numFmtId="174" fontId="11" fillId="0" borderId="44" xfId="0" applyNumberFormat="1" applyFont="1" applyBorder="1" applyAlignment="1">
      <alignment horizontal="center" vertical="center" shrinkToFit="1"/>
    </xf>
    <xf numFmtId="165" fontId="25" fillId="2" borderId="17" xfId="0" applyNumberFormat="1" applyFont="1" applyFill="1" applyBorder="1" applyAlignment="1">
      <alignment horizontal="center" vertical="center" shrinkToFit="1"/>
    </xf>
    <xf numFmtId="167" fontId="8" fillId="2" borderId="11" xfId="0" applyNumberFormat="1" applyFont="1" applyFill="1" applyBorder="1" applyAlignment="1">
      <alignment horizontal="center" vertical="center" shrinkToFit="1"/>
    </xf>
    <xf numFmtId="167" fontId="3" fillId="2" borderId="11" xfId="0" applyNumberFormat="1" applyFont="1" applyFill="1" applyBorder="1" applyAlignment="1">
      <alignment horizontal="center" vertical="center" shrinkToFit="1"/>
    </xf>
    <xf numFmtId="167" fontId="4" fillId="2" borderId="17" xfId="0" applyNumberFormat="1" applyFont="1" applyFill="1" applyBorder="1" applyAlignment="1">
      <alignment horizontal="center" vertical="center" shrinkToFit="1"/>
    </xf>
    <xf numFmtId="174" fontId="5" fillId="7" borderId="51" xfId="0" applyNumberFormat="1" applyFont="1" applyFill="1" applyBorder="1" applyAlignment="1">
      <alignment horizontal="center" vertical="center" shrinkToFit="1"/>
    </xf>
    <xf numFmtId="174" fontId="5" fillId="7" borderId="52" xfId="0" applyNumberFormat="1" applyFont="1" applyFill="1" applyBorder="1" applyAlignment="1">
      <alignment horizontal="center" vertical="center" shrinkToFit="1"/>
    </xf>
    <xf numFmtId="174" fontId="5" fillId="7" borderId="53" xfId="0" applyNumberFormat="1" applyFont="1" applyFill="1" applyBorder="1" applyAlignment="1">
      <alignment horizontal="center" vertical="center" shrinkToFit="1"/>
    </xf>
    <xf numFmtId="174" fontId="3" fillId="0" borderId="53" xfId="0" applyNumberFormat="1" applyFont="1" applyBorder="1" applyAlignment="1">
      <alignment horizontal="center" vertical="center" shrinkToFit="1"/>
    </xf>
    <xf numFmtId="174" fontId="11" fillId="0" borderId="54" xfId="0" applyNumberFormat="1" applyFont="1" applyBorder="1" applyAlignment="1">
      <alignment horizontal="center" vertical="center" shrinkToFit="1"/>
    </xf>
    <xf numFmtId="174" fontId="3" fillId="7" borderId="43" xfId="0" applyNumberFormat="1" applyFont="1" applyFill="1" applyBorder="1" applyAlignment="1">
      <alignment horizontal="center" vertical="center" shrinkToFit="1"/>
    </xf>
    <xf numFmtId="174" fontId="3" fillId="7" borderId="52" xfId="0" applyNumberFormat="1" applyFont="1" applyFill="1" applyBorder="1" applyAlignment="1">
      <alignment horizontal="center" vertical="center" shrinkToFit="1"/>
    </xf>
    <xf numFmtId="167" fontId="26" fillId="2" borderId="1" xfId="0" applyNumberFormat="1" applyFont="1" applyFill="1" applyBorder="1" applyAlignment="1">
      <alignment horizontal="center" vertical="center" shrinkToFit="1"/>
    </xf>
    <xf numFmtId="49" fontId="4" fillId="0" borderId="12" xfId="0" applyNumberFormat="1" applyFont="1" applyBorder="1" applyAlignment="1">
      <alignment horizontal="center" vertical="center" shrinkToFit="1"/>
    </xf>
    <xf numFmtId="49" fontId="8" fillId="0" borderId="12" xfId="0" applyNumberFormat="1" applyFont="1" applyBorder="1" applyAlignment="1">
      <alignment horizontal="center" vertical="center" shrinkToFit="1"/>
    </xf>
    <xf numFmtId="49" fontId="9" fillId="0" borderId="12" xfId="0" applyNumberFormat="1" applyFont="1" applyBorder="1" applyAlignment="1">
      <alignment horizontal="center" vertical="center" shrinkToFit="1"/>
    </xf>
    <xf numFmtId="174" fontId="5" fillId="5" borderId="7" xfId="0" applyNumberFormat="1" applyFont="1" applyFill="1" applyBorder="1" applyAlignment="1">
      <alignment horizontal="center" vertical="center" shrinkToFit="1"/>
    </xf>
    <xf numFmtId="174" fontId="3" fillId="5" borderId="7" xfId="0" applyNumberFormat="1" applyFont="1" applyFill="1" applyBorder="1" applyAlignment="1">
      <alignment horizontal="center" vertical="center" shrinkToFit="1"/>
    </xf>
    <xf numFmtId="174" fontId="5" fillId="5" borderId="47" xfId="0" applyNumberFormat="1" applyFont="1" applyFill="1" applyBorder="1" applyAlignment="1">
      <alignment horizontal="center" vertical="center" shrinkToFit="1"/>
    </xf>
    <xf numFmtId="174" fontId="3" fillId="5" borderId="47" xfId="0" applyNumberFormat="1" applyFont="1" applyFill="1" applyBorder="1" applyAlignment="1">
      <alignment horizontal="center" vertical="center" shrinkToFit="1"/>
    </xf>
    <xf numFmtId="174" fontId="5" fillId="5" borderId="52" xfId="0" applyNumberFormat="1" applyFont="1" applyFill="1" applyBorder="1" applyAlignment="1">
      <alignment horizontal="center" vertical="center" shrinkToFit="1"/>
    </xf>
    <xf numFmtId="174" fontId="3" fillId="5" borderId="52" xfId="0" applyNumberFormat="1" applyFont="1" applyFill="1" applyBorder="1" applyAlignment="1">
      <alignment horizontal="center" vertical="center" shrinkToFit="1"/>
    </xf>
    <xf numFmtId="174" fontId="9" fillId="0" borderId="6" xfId="3" applyNumberFormat="1" applyFont="1" applyBorder="1" applyAlignment="1">
      <alignment horizontal="center" vertical="center" wrapText="1"/>
    </xf>
    <xf numFmtId="174" fontId="9" fillId="0" borderId="8" xfId="3" applyNumberFormat="1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 shrinkToFit="1"/>
    </xf>
    <xf numFmtId="0" fontId="20" fillId="0" borderId="26" xfId="0" applyFont="1" applyBorder="1" applyAlignment="1">
      <alignment horizontal="center" vertical="center" wrapText="1" shrinkToFit="1"/>
    </xf>
    <xf numFmtId="0" fontId="22" fillId="0" borderId="2" xfId="0" applyFont="1" applyBorder="1" applyAlignment="1">
      <alignment horizontal="center" vertical="center" wrapText="1" shrinkToFit="1"/>
    </xf>
    <xf numFmtId="0" fontId="22" fillId="0" borderId="30" xfId="0" applyFont="1" applyBorder="1" applyAlignment="1">
      <alignment horizontal="center" vertical="center" wrapText="1" shrinkToFit="1"/>
    </xf>
    <xf numFmtId="0" fontId="22" fillId="0" borderId="32" xfId="0" applyFont="1" applyBorder="1" applyAlignment="1">
      <alignment horizontal="center" vertical="center" wrapText="1" shrinkToFit="1"/>
    </xf>
    <xf numFmtId="0" fontId="20" fillId="0" borderId="2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9" fillId="8" borderId="13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168" fontId="10" fillId="2" borderId="3" xfId="0" applyNumberFormat="1" applyFont="1" applyFill="1" applyBorder="1" applyAlignment="1">
      <alignment horizontal="center" vertical="center" shrinkToFit="1"/>
    </xf>
    <xf numFmtId="168" fontId="10" fillId="2" borderId="4" xfId="0" applyNumberFormat="1" applyFont="1" applyFill="1" applyBorder="1" applyAlignment="1">
      <alignment horizontal="center" vertical="center" shrinkToFit="1"/>
    </xf>
    <xf numFmtId="165" fontId="9" fillId="0" borderId="3" xfId="0" applyNumberFormat="1" applyFont="1" applyBorder="1" applyAlignment="1">
      <alignment horizontal="center" vertical="center" shrinkToFit="1"/>
    </xf>
    <xf numFmtId="165" fontId="9" fillId="0" borderId="4" xfId="0" applyNumberFormat="1" applyFont="1" applyBorder="1" applyAlignment="1">
      <alignment horizontal="center" vertical="center" shrinkToFit="1"/>
    </xf>
    <xf numFmtId="165" fontId="9" fillId="0" borderId="1" xfId="0" applyNumberFormat="1" applyFont="1" applyBorder="1" applyAlignment="1">
      <alignment horizontal="center" vertical="center" shrinkToFit="1"/>
    </xf>
    <xf numFmtId="165" fontId="9" fillId="0" borderId="2" xfId="0" applyNumberFormat="1" applyFont="1" applyBorder="1" applyAlignment="1">
      <alignment horizontal="center" vertical="center" shrinkToFit="1"/>
    </xf>
    <xf numFmtId="168" fontId="6" fillId="2" borderId="3" xfId="0" applyNumberFormat="1" applyFont="1" applyFill="1" applyBorder="1" applyAlignment="1">
      <alignment horizontal="center" vertical="center" shrinkToFit="1"/>
    </xf>
    <xf numFmtId="168" fontId="6" fillId="2" borderId="4" xfId="0" applyNumberFormat="1" applyFont="1" applyFill="1" applyBorder="1" applyAlignment="1">
      <alignment horizontal="center" vertical="center" shrinkToFit="1"/>
    </xf>
    <xf numFmtId="168" fontId="6" fillId="2" borderId="11" xfId="0" applyNumberFormat="1" applyFont="1" applyFill="1" applyBorder="1" applyAlignment="1">
      <alignment horizontal="center" vertical="center" shrinkToFit="1"/>
    </xf>
    <xf numFmtId="165" fontId="9" fillId="4" borderId="3" xfId="0" applyNumberFormat="1" applyFont="1" applyFill="1" applyBorder="1" applyAlignment="1">
      <alignment horizontal="center" vertical="center" shrinkToFit="1"/>
    </xf>
    <xf numFmtId="165" fontId="9" fillId="4" borderId="4" xfId="0" applyNumberFormat="1" applyFont="1" applyFill="1" applyBorder="1" applyAlignment="1">
      <alignment horizontal="center" vertical="center" shrinkToFit="1"/>
    </xf>
    <xf numFmtId="165" fontId="9" fillId="4" borderId="11" xfId="0" applyNumberFormat="1" applyFont="1" applyFill="1" applyBorder="1" applyAlignment="1">
      <alignment horizontal="center" vertical="center" shrinkToFit="1"/>
    </xf>
    <xf numFmtId="165" fontId="9" fillId="0" borderId="11" xfId="0" applyNumberFormat="1" applyFont="1" applyBorder="1" applyAlignment="1">
      <alignment horizontal="center" vertical="center" shrinkToFit="1"/>
    </xf>
    <xf numFmtId="168" fontId="10" fillId="2" borderId="11" xfId="0" applyNumberFormat="1" applyFont="1" applyFill="1" applyBorder="1" applyAlignment="1">
      <alignment horizontal="center" vertical="center" shrinkToFit="1"/>
    </xf>
    <xf numFmtId="174" fontId="3" fillId="7" borderId="16" xfId="3" applyNumberFormat="1" applyFont="1" applyFill="1" applyBorder="1" applyAlignment="1">
      <alignment horizontal="center" vertical="center"/>
    </xf>
    <xf numFmtId="174" fontId="5" fillId="5" borderId="16" xfId="3" applyNumberFormat="1" applyFont="1" applyFill="1" applyBorder="1" applyAlignment="1">
      <alignment horizontal="center" vertical="center"/>
    </xf>
    <xf numFmtId="174" fontId="3" fillId="5" borderId="16" xfId="3" applyNumberFormat="1" applyFont="1" applyFill="1" applyBorder="1" applyAlignment="1">
      <alignment horizontal="center" vertical="center"/>
    </xf>
  </cellXfs>
  <cellStyles count="6">
    <cellStyle name="Comma" xfId="1" builtinId="3"/>
    <cellStyle name="Currency 2" xfId="4" xr:uid="{00000000-0005-0000-0000-000001000000}"/>
    <cellStyle name="Normal" xfId="0" builtinId="0"/>
    <cellStyle name="Normal 2" xfId="3" xr:uid="{00000000-0005-0000-0000-000003000000}"/>
    <cellStyle name="Normal 3" xfId="2" xr:uid="{00000000-0005-0000-0000-000004000000}"/>
    <cellStyle name="Normal 5" xfId="5" xr:uid="{683B408F-DC84-4B25-BF81-3D655423312A}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colors>
    <mruColors>
      <color rgb="FF3F0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577145</xdr:colOff>
      <xdr:row>55</xdr:row>
      <xdr:rowOff>15476</xdr:rowOff>
    </xdr:from>
    <xdr:to>
      <xdr:col>16</xdr:col>
      <xdr:colOff>431261</xdr:colOff>
      <xdr:row>65</xdr:row>
      <xdr:rowOff>32837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5FE4EE-061A-E3C2-FF6C-B9A694D2F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7133">
          <a:off x="15558609" y="12901440"/>
          <a:ext cx="4466938" cy="23305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20</xdr:row>
      <xdr:rowOff>84667</xdr:rowOff>
    </xdr:from>
    <xdr:to>
      <xdr:col>19</xdr:col>
      <xdr:colOff>230161</xdr:colOff>
      <xdr:row>53</xdr:row>
      <xdr:rowOff>161755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EF592F-D7CE-D38B-E296-E4D576676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583" y="3894667"/>
          <a:ext cx="11183911" cy="6363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C51B15C-2490-4DE6-BC4A-4C467AD11184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ae2085f5-2ec8-4c99-99fb-7073114a4af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89"/>
  <sheetViews>
    <sheetView zoomScale="60" zoomScaleNormal="60" workbookViewId="0">
      <pane xSplit="1" ySplit="13" topLeftCell="B14" activePane="bottomRight" state="frozen"/>
      <selection pane="topRight" activeCell="B1" sqref="B1"/>
      <selection pane="bottomLeft" activeCell="A14" sqref="A14"/>
      <selection pane="bottomRight" activeCell="Y13" sqref="Y13"/>
    </sheetView>
  </sheetViews>
  <sheetFormatPr defaultColWidth="9.140625" defaultRowHeight="18" x14ac:dyDescent="0.25"/>
  <cols>
    <col min="1" max="1" width="21.140625" style="5" customWidth="1"/>
    <col min="2" max="22" width="15.7109375" style="5" customWidth="1"/>
    <col min="23" max="25" width="15.7109375" style="81" customWidth="1"/>
    <col min="26" max="16384" width="9.140625" style="5"/>
  </cols>
  <sheetData>
    <row r="1" spans="1:25" ht="18.75" thickBot="1" x14ac:dyDescent="0.3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62"/>
      <c r="X1" s="62"/>
      <c r="Y1" s="62"/>
    </row>
    <row r="2" spans="1:25" ht="24.75" customHeight="1" x14ac:dyDescent="0.25">
      <c r="A2" s="6"/>
      <c r="B2" s="214" t="s">
        <v>4</v>
      </c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6"/>
    </row>
    <row r="3" spans="1:25" ht="45.75" customHeight="1" x14ac:dyDescent="0.25">
      <c r="A3" s="7"/>
      <c r="B3" s="221" t="s">
        <v>43</v>
      </c>
      <c r="C3" s="222"/>
      <c r="D3" s="222"/>
      <c r="E3" s="219" t="s">
        <v>44</v>
      </c>
      <c r="F3" s="220"/>
      <c r="G3" s="220"/>
      <c r="H3" s="219" t="s">
        <v>73</v>
      </c>
      <c r="I3" s="220"/>
      <c r="J3" s="220"/>
      <c r="K3" s="219" t="s">
        <v>41</v>
      </c>
      <c r="L3" s="220"/>
      <c r="M3" s="220"/>
      <c r="N3" s="219" t="s">
        <v>134</v>
      </c>
      <c r="O3" s="220"/>
      <c r="P3" s="229"/>
      <c r="Q3" s="219" t="s">
        <v>1</v>
      </c>
      <c r="R3" s="220"/>
      <c r="S3" s="220"/>
      <c r="T3" s="219" t="s">
        <v>136</v>
      </c>
      <c r="U3" s="220"/>
      <c r="V3" s="229"/>
      <c r="W3" s="226" t="s">
        <v>42</v>
      </c>
      <c r="X3" s="227"/>
      <c r="Y3" s="228"/>
    </row>
    <row r="4" spans="1:25" ht="29.25" customHeight="1" x14ac:dyDescent="0.25">
      <c r="A4" s="6" t="s">
        <v>9</v>
      </c>
      <c r="B4" s="217" t="s">
        <v>10</v>
      </c>
      <c r="C4" s="218"/>
      <c r="D4" s="218"/>
      <c r="E4" s="217" t="s">
        <v>11</v>
      </c>
      <c r="F4" s="218"/>
      <c r="G4" s="218"/>
      <c r="H4" s="217" t="s">
        <v>11</v>
      </c>
      <c r="I4" s="218"/>
      <c r="J4" s="218"/>
      <c r="K4" s="217" t="s">
        <v>12</v>
      </c>
      <c r="L4" s="218"/>
      <c r="M4" s="218"/>
      <c r="N4" s="217" t="s">
        <v>140</v>
      </c>
      <c r="O4" s="218"/>
      <c r="P4" s="230"/>
      <c r="Q4" s="217" t="s">
        <v>13</v>
      </c>
      <c r="R4" s="218"/>
      <c r="S4" s="218"/>
      <c r="T4" s="217" t="s">
        <v>137</v>
      </c>
      <c r="U4" s="218"/>
      <c r="V4" s="230"/>
      <c r="W4" s="223"/>
      <c r="X4" s="224"/>
      <c r="Y4" s="225"/>
    </row>
    <row r="5" spans="1:25" ht="29.25" customHeight="1" x14ac:dyDescent="0.25">
      <c r="A5" s="6" t="s">
        <v>2</v>
      </c>
      <c r="B5" s="147" t="s">
        <v>131</v>
      </c>
      <c r="C5" s="148" t="s">
        <v>132</v>
      </c>
      <c r="D5" s="148" t="s">
        <v>133</v>
      </c>
      <c r="E5" s="147" t="s">
        <v>131</v>
      </c>
      <c r="F5" s="148" t="s">
        <v>132</v>
      </c>
      <c r="G5" s="148" t="s">
        <v>133</v>
      </c>
      <c r="H5" s="147" t="s">
        <v>131</v>
      </c>
      <c r="I5" s="148" t="s">
        <v>132</v>
      </c>
      <c r="J5" s="148" t="s">
        <v>133</v>
      </c>
      <c r="K5" s="147" t="s">
        <v>131</v>
      </c>
      <c r="L5" s="148" t="s">
        <v>132</v>
      </c>
      <c r="M5" s="157" t="s">
        <v>133</v>
      </c>
      <c r="N5" s="147" t="s">
        <v>131</v>
      </c>
      <c r="O5" s="148" t="s">
        <v>132</v>
      </c>
      <c r="P5" s="167" t="s">
        <v>133</v>
      </c>
      <c r="Q5" s="147" t="s">
        <v>131</v>
      </c>
      <c r="R5" s="148" t="s">
        <v>132</v>
      </c>
      <c r="S5" s="157" t="s">
        <v>133</v>
      </c>
      <c r="T5" s="147" t="s">
        <v>131</v>
      </c>
      <c r="U5" s="148" t="s">
        <v>132</v>
      </c>
      <c r="V5" s="167" t="s">
        <v>133</v>
      </c>
      <c r="W5" s="63"/>
      <c r="X5" s="64"/>
      <c r="Y5" s="84"/>
    </row>
    <row r="6" spans="1:25" ht="29.25" customHeight="1" x14ac:dyDescent="0.25">
      <c r="A6" s="6" t="s">
        <v>3</v>
      </c>
      <c r="B6" s="28" t="s">
        <v>128</v>
      </c>
      <c r="C6" s="29" t="s">
        <v>129</v>
      </c>
      <c r="D6" s="29" t="s">
        <v>130</v>
      </c>
      <c r="E6" s="28" t="s">
        <v>128</v>
      </c>
      <c r="F6" s="29" t="s">
        <v>129</v>
      </c>
      <c r="G6" s="29" t="s">
        <v>130</v>
      </c>
      <c r="H6" s="28" t="s">
        <v>128</v>
      </c>
      <c r="I6" s="29" t="s">
        <v>129</v>
      </c>
      <c r="J6" s="29" t="s">
        <v>130</v>
      </c>
      <c r="K6" s="28" t="s">
        <v>128</v>
      </c>
      <c r="L6" s="29" t="s">
        <v>129</v>
      </c>
      <c r="M6" s="158" t="s">
        <v>130</v>
      </c>
      <c r="N6" s="28" t="s">
        <v>128</v>
      </c>
      <c r="O6" s="29" t="s">
        <v>129</v>
      </c>
      <c r="P6" s="141" t="s">
        <v>130</v>
      </c>
      <c r="Q6" s="28" t="s">
        <v>128</v>
      </c>
      <c r="R6" s="29" t="s">
        <v>129</v>
      </c>
      <c r="S6" s="158" t="s">
        <v>130</v>
      </c>
      <c r="T6" s="28" t="s">
        <v>128</v>
      </c>
      <c r="U6" s="29" t="s">
        <v>129</v>
      </c>
      <c r="V6" s="141" t="s">
        <v>130</v>
      </c>
      <c r="W6" s="63" t="s">
        <v>128</v>
      </c>
      <c r="X6" s="64" t="s">
        <v>129</v>
      </c>
      <c r="Y6" s="84" t="s">
        <v>130</v>
      </c>
    </row>
    <row r="7" spans="1:25" ht="29.25" customHeight="1" x14ac:dyDescent="0.25">
      <c r="A7" s="8" t="s">
        <v>8</v>
      </c>
      <c r="B7" s="9" t="s">
        <v>36</v>
      </c>
      <c r="C7" s="10" t="s">
        <v>36</v>
      </c>
      <c r="D7" s="10" t="s">
        <v>36</v>
      </c>
      <c r="E7" s="9" t="s">
        <v>36</v>
      </c>
      <c r="F7" s="10" t="s">
        <v>36</v>
      </c>
      <c r="G7" s="10" t="s">
        <v>36</v>
      </c>
      <c r="H7" s="9" t="s">
        <v>73</v>
      </c>
      <c r="I7" s="10" t="s">
        <v>73</v>
      </c>
      <c r="J7" s="10" t="s">
        <v>73</v>
      </c>
      <c r="K7" s="9" t="s">
        <v>36</v>
      </c>
      <c r="L7" s="10" t="s">
        <v>36</v>
      </c>
      <c r="M7" s="159" t="s">
        <v>36</v>
      </c>
      <c r="N7" s="9" t="s">
        <v>36</v>
      </c>
      <c r="O7" s="10" t="s">
        <v>36</v>
      </c>
      <c r="P7" s="140" t="s">
        <v>36</v>
      </c>
      <c r="Q7" s="9" t="s">
        <v>37</v>
      </c>
      <c r="R7" s="10" t="s">
        <v>37</v>
      </c>
      <c r="S7" s="159" t="s">
        <v>37</v>
      </c>
      <c r="T7" s="9" t="s">
        <v>37</v>
      </c>
      <c r="U7" s="10" t="s">
        <v>37</v>
      </c>
      <c r="V7" s="140" t="s">
        <v>37</v>
      </c>
      <c r="W7" s="65"/>
      <c r="X7" s="66"/>
      <c r="Y7" s="85"/>
    </row>
    <row r="8" spans="1:25" ht="29.25" customHeight="1" x14ac:dyDescent="0.25">
      <c r="A8" s="6" t="s">
        <v>7</v>
      </c>
      <c r="B8" s="28"/>
      <c r="C8" s="29"/>
      <c r="D8" s="29"/>
      <c r="E8" s="28"/>
      <c r="F8" s="29"/>
      <c r="G8" s="29"/>
      <c r="H8" s="28"/>
      <c r="I8" s="29"/>
      <c r="J8" s="29"/>
      <c r="K8" s="28"/>
      <c r="L8" s="29"/>
      <c r="M8" s="158"/>
      <c r="N8" s="28"/>
      <c r="O8" s="29"/>
      <c r="P8" s="141"/>
      <c r="Q8" s="28"/>
      <c r="R8" s="29"/>
      <c r="S8" s="158"/>
      <c r="T8" s="28"/>
      <c r="U8" s="29"/>
      <c r="V8" s="141"/>
      <c r="W8" s="63"/>
      <c r="X8" s="64"/>
      <c r="Y8" s="84"/>
    </row>
    <row r="9" spans="1:25" ht="29.25" customHeight="1" x14ac:dyDescent="0.25">
      <c r="A9" s="11" t="s">
        <v>40</v>
      </c>
      <c r="B9" s="12">
        <v>624</v>
      </c>
      <c r="C9" s="13">
        <v>624</v>
      </c>
      <c r="D9" s="13">
        <v>624</v>
      </c>
      <c r="E9" s="93">
        <v>702</v>
      </c>
      <c r="F9" s="13">
        <v>702</v>
      </c>
      <c r="G9" s="13">
        <v>702</v>
      </c>
      <c r="H9" s="93">
        <v>31.2</v>
      </c>
      <c r="I9" s="13">
        <v>31.2</v>
      </c>
      <c r="J9" s="13">
        <v>31.2</v>
      </c>
      <c r="K9" s="93">
        <v>920.4</v>
      </c>
      <c r="L9" s="13">
        <v>920.4</v>
      </c>
      <c r="M9" s="95">
        <v>920.4</v>
      </c>
      <c r="N9" s="93">
        <v>608.4</v>
      </c>
      <c r="O9" s="13">
        <v>608.4</v>
      </c>
      <c r="P9" s="168">
        <v>608.4</v>
      </c>
      <c r="Q9" s="93">
        <v>234</v>
      </c>
      <c r="R9" s="13">
        <v>234</v>
      </c>
      <c r="S9" s="95">
        <v>234</v>
      </c>
      <c r="T9" s="93">
        <v>15.6</v>
      </c>
      <c r="U9" s="13">
        <v>15.6</v>
      </c>
      <c r="V9" s="168">
        <v>15.6</v>
      </c>
      <c r="W9" s="67">
        <f>+B9+E9+H9+K9+N9+Q9++T9</f>
        <v>3135.6</v>
      </c>
      <c r="X9" s="68">
        <f>+C9+F9+I9+L9+O9+R9++U9</f>
        <v>3135.6</v>
      </c>
      <c r="Y9" s="86">
        <f>+D9+G9+J9+M9+P9+S9++V9</f>
        <v>3135.6</v>
      </c>
    </row>
    <row r="10" spans="1:25" ht="29.25" customHeight="1" x14ac:dyDescent="0.25">
      <c r="A10" s="14" t="s">
        <v>38</v>
      </c>
      <c r="B10" s="15">
        <v>1497</v>
      </c>
      <c r="C10" s="16">
        <v>1497</v>
      </c>
      <c r="D10" s="16">
        <v>1497</v>
      </c>
      <c r="E10" s="94">
        <v>1614</v>
      </c>
      <c r="F10" s="16">
        <v>1614</v>
      </c>
      <c r="G10" s="16">
        <v>1614</v>
      </c>
      <c r="H10" s="94">
        <v>64</v>
      </c>
      <c r="I10" s="16">
        <v>64</v>
      </c>
      <c r="J10" s="16">
        <v>64</v>
      </c>
      <c r="K10" s="94">
        <v>2142</v>
      </c>
      <c r="L10" s="16">
        <v>2142</v>
      </c>
      <c r="M10" s="96">
        <v>2142</v>
      </c>
      <c r="N10" s="94">
        <v>1423</v>
      </c>
      <c r="O10" s="16">
        <v>1423</v>
      </c>
      <c r="P10" s="169">
        <v>1423</v>
      </c>
      <c r="Q10" s="94">
        <v>532</v>
      </c>
      <c r="R10" s="16">
        <v>532</v>
      </c>
      <c r="S10" s="96">
        <v>532</v>
      </c>
      <c r="T10" s="94">
        <v>38</v>
      </c>
      <c r="U10" s="16">
        <v>38</v>
      </c>
      <c r="V10" s="169">
        <v>38</v>
      </c>
      <c r="W10" s="178">
        <f>+B10+E10+H10+K10+N10+Q10++T10</f>
        <v>7310</v>
      </c>
      <c r="X10" s="69">
        <f>+C10+F10+I10+L10+O10+R10++U10</f>
        <v>7310</v>
      </c>
      <c r="Y10" s="87">
        <f t="shared" ref="Y10" si="0">+D10+G10+J10+M10+P10+S10++V10</f>
        <v>7310</v>
      </c>
    </row>
    <row r="11" spans="1:25" ht="29.25" customHeight="1" x14ac:dyDescent="0.25">
      <c r="A11" s="17" t="s">
        <v>39</v>
      </c>
      <c r="B11" s="18">
        <f t="shared" ref="B11:D11" si="1">B9+B10</f>
        <v>2121</v>
      </c>
      <c r="C11" s="19">
        <f t="shared" si="1"/>
        <v>2121</v>
      </c>
      <c r="D11" s="19">
        <f t="shared" si="1"/>
        <v>2121</v>
      </c>
      <c r="E11" s="18">
        <f t="shared" ref="E11:G11" si="2">E9+E10</f>
        <v>2316</v>
      </c>
      <c r="F11" s="19">
        <f t="shared" si="2"/>
        <v>2316</v>
      </c>
      <c r="G11" s="19">
        <f t="shared" si="2"/>
        <v>2316</v>
      </c>
      <c r="H11" s="18">
        <f t="shared" ref="H11:J11" si="3">H9+H10</f>
        <v>95.2</v>
      </c>
      <c r="I11" s="19">
        <f t="shared" si="3"/>
        <v>95.2</v>
      </c>
      <c r="J11" s="19">
        <f t="shared" si="3"/>
        <v>95.2</v>
      </c>
      <c r="K11" s="18">
        <f t="shared" ref="K11:M11" si="4">K9+K10</f>
        <v>3062.4</v>
      </c>
      <c r="L11" s="19">
        <f t="shared" si="4"/>
        <v>3062.4</v>
      </c>
      <c r="M11" s="160">
        <f t="shared" si="4"/>
        <v>3062.4</v>
      </c>
      <c r="N11" s="18">
        <f>N9+N10</f>
        <v>2031.4</v>
      </c>
      <c r="O11" s="19">
        <f t="shared" ref="O11:P11" si="5">O9+O10</f>
        <v>2031.4</v>
      </c>
      <c r="P11" s="170">
        <f t="shared" si="5"/>
        <v>2031.4</v>
      </c>
      <c r="Q11" s="18">
        <f>Q9+Q10</f>
        <v>766</v>
      </c>
      <c r="R11" s="19">
        <f t="shared" ref="R11:S11" si="6">R9+R10</f>
        <v>766</v>
      </c>
      <c r="S11" s="160">
        <f t="shared" si="6"/>
        <v>766</v>
      </c>
      <c r="T11" s="18">
        <f>T9+T10</f>
        <v>53.6</v>
      </c>
      <c r="U11" s="19">
        <f t="shared" ref="U11:V11" si="7">U9+U10</f>
        <v>53.6</v>
      </c>
      <c r="V11" s="170">
        <f t="shared" si="7"/>
        <v>53.6</v>
      </c>
      <c r="W11" s="70">
        <f>W9+W10</f>
        <v>10445.6</v>
      </c>
      <c r="X11" s="71">
        <f t="shared" ref="X11:Y11" si="8">X9+X10</f>
        <v>10445.6</v>
      </c>
      <c r="Y11" s="88">
        <f t="shared" si="8"/>
        <v>10445.6</v>
      </c>
    </row>
    <row r="12" spans="1:25" ht="29.25" customHeight="1" x14ac:dyDescent="0.25">
      <c r="A12" s="6" t="s">
        <v>6</v>
      </c>
      <c r="B12" s="149">
        <v>79065338</v>
      </c>
      <c r="C12" s="21">
        <v>79064001</v>
      </c>
      <c r="D12" s="150">
        <v>79064011</v>
      </c>
      <c r="E12" s="20">
        <v>79065338</v>
      </c>
      <c r="F12" s="21">
        <v>79064001</v>
      </c>
      <c r="G12" s="21">
        <v>79064011</v>
      </c>
      <c r="H12" s="20">
        <v>79065340</v>
      </c>
      <c r="I12" s="21">
        <v>79064003</v>
      </c>
      <c r="J12" s="21">
        <v>79064013</v>
      </c>
      <c r="K12" s="20">
        <v>79065338</v>
      </c>
      <c r="L12" s="21">
        <v>79064001</v>
      </c>
      <c r="M12" s="161">
        <v>79064011</v>
      </c>
      <c r="N12" s="20">
        <v>79065338</v>
      </c>
      <c r="O12" s="21">
        <v>79064001</v>
      </c>
      <c r="P12" s="142">
        <v>79064011</v>
      </c>
      <c r="Q12" s="20">
        <v>79065339</v>
      </c>
      <c r="R12" s="21">
        <v>79064002</v>
      </c>
      <c r="S12" s="161">
        <v>79064012</v>
      </c>
      <c r="T12" s="20">
        <v>79065339</v>
      </c>
      <c r="U12" s="21">
        <v>79064002</v>
      </c>
      <c r="V12" s="142">
        <v>79064012</v>
      </c>
      <c r="W12" s="72"/>
      <c r="X12" s="73"/>
      <c r="Y12" s="89"/>
    </row>
    <row r="13" spans="1:25" ht="29.25" customHeight="1" x14ac:dyDescent="0.25">
      <c r="A13" s="6" t="s">
        <v>5</v>
      </c>
      <c r="B13" s="9" t="s">
        <v>0</v>
      </c>
      <c r="C13" s="10" t="s">
        <v>0</v>
      </c>
      <c r="D13" s="10" t="s">
        <v>0</v>
      </c>
      <c r="E13" s="9" t="s">
        <v>0</v>
      </c>
      <c r="F13" s="10" t="s">
        <v>0</v>
      </c>
      <c r="G13" s="10" t="s">
        <v>0</v>
      </c>
      <c r="H13" s="9" t="s">
        <v>0</v>
      </c>
      <c r="I13" s="10" t="s">
        <v>0</v>
      </c>
      <c r="J13" s="10" t="s">
        <v>0</v>
      </c>
      <c r="K13" s="9" t="s">
        <v>0</v>
      </c>
      <c r="L13" s="10" t="s">
        <v>0</v>
      </c>
      <c r="M13" s="159" t="s">
        <v>0</v>
      </c>
      <c r="N13" s="9" t="s">
        <v>0</v>
      </c>
      <c r="O13" s="10" t="s">
        <v>0</v>
      </c>
      <c r="P13" s="140" t="s">
        <v>0</v>
      </c>
      <c r="Q13" s="9" t="s">
        <v>0</v>
      </c>
      <c r="R13" s="10" t="s">
        <v>0</v>
      </c>
      <c r="S13" s="159" t="s">
        <v>0</v>
      </c>
      <c r="T13" s="9" t="s">
        <v>0</v>
      </c>
      <c r="U13" s="10" t="s">
        <v>0</v>
      </c>
      <c r="V13" s="140" t="s">
        <v>0</v>
      </c>
      <c r="W13" s="74"/>
      <c r="X13" s="75"/>
      <c r="Y13" s="76"/>
    </row>
    <row r="14" spans="1:25" x14ac:dyDescent="0.25">
      <c r="A14" s="3" t="s">
        <v>58</v>
      </c>
      <c r="B14" s="132">
        <v>0</v>
      </c>
      <c r="C14" s="22">
        <v>0</v>
      </c>
      <c r="D14" s="22">
        <v>0</v>
      </c>
      <c r="E14" s="132">
        <v>0</v>
      </c>
      <c r="F14" s="22">
        <v>0</v>
      </c>
      <c r="G14" s="22">
        <v>0</v>
      </c>
      <c r="H14" s="132">
        <v>0</v>
      </c>
      <c r="I14" s="22">
        <v>0</v>
      </c>
      <c r="J14" s="22">
        <v>0</v>
      </c>
      <c r="K14" s="132">
        <v>0</v>
      </c>
      <c r="L14" s="22">
        <v>0</v>
      </c>
      <c r="M14" s="162">
        <v>0</v>
      </c>
      <c r="N14" s="132">
        <v>0</v>
      </c>
      <c r="O14" s="151">
        <v>0</v>
      </c>
      <c r="P14" s="171">
        <v>0</v>
      </c>
      <c r="Q14" s="132">
        <v>0</v>
      </c>
      <c r="R14" s="22">
        <v>0</v>
      </c>
      <c r="S14" s="162">
        <v>0</v>
      </c>
      <c r="T14" s="132">
        <v>0</v>
      </c>
      <c r="U14" s="151">
        <v>0</v>
      </c>
      <c r="V14" s="171">
        <v>0</v>
      </c>
      <c r="W14" s="77">
        <f t="shared" ref="W14:W45" si="9">+B14+E14+K14+H14+Q14</f>
        <v>0</v>
      </c>
      <c r="X14" s="78">
        <f t="shared" ref="X14:X45" si="10">+C14+F14+L14+I14+R14</f>
        <v>0</v>
      </c>
      <c r="Y14" s="90">
        <f t="shared" ref="Y14:Y45" si="11">+D14+G14+M14+J14+S14</f>
        <v>0</v>
      </c>
    </row>
    <row r="15" spans="1:25" x14ac:dyDescent="0.25">
      <c r="A15" s="3" t="s">
        <v>59</v>
      </c>
      <c r="B15" s="133">
        <v>0</v>
      </c>
      <c r="C15" s="23">
        <v>0</v>
      </c>
      <c r="D15" s="23">
        <v>0</v>
      </c>
      <c r="E15" s="133">
        <v>0</v>
      </c>
      <c r="F15" s="23">
        <v>0</v>
      </c>
      <c r="G15" s="23">
        <v>0</v>
      </c>
      <c r="H15" s="133">
        <v>0</v>
      </c>
      <c r="I15" s="23">
        <v>0</v>
      </c>
      <c r="J15" s="23">
        <v>0</v>
      </c>
      <c r="K15" s="133">
        <v>0</v>
      </c>
      <c r="L15" s="23">
        <v>0</v>
      </c>
      <c r="M15" s="163">
        <v>0</v>
      </c>
      <c r="N15" s="133">
        <v>0</v>
      </c>
      <c r="O15" s="152">
        <v>0</v>
      </c>
      <c r="P15" s="172">
        <v>0</v>
      </c>
      <c r="Q15" s="133">
        <v>0</v>
      </c>
      <c r="R15" s="23">
        <v>0</v>
      </c>
      <c r="S15" s="163">
        <v>0</v>
      </c>
      <c r="T15" s="133">
        <v>0</v>
      </c>
      <c r="U15" s="152">
        <v>0</v>
      </c>
      <c r="V15" s="172">
        <v>0</v>
      </c>
      <c r="W15" s="79">
        <f t="shared" si="9"/>
        <v>0</v>
      </c>
      <c r="X15" s="80">
        <f t="shared" si="10"/>
        <v>0</v>
      </c>
      <c r="Y15" s="91">
        <f t="shared" si="11"/>
        <v>0</v>
      </c>
    </row>
    <row r="16" spans="1:25" x14ac:dyDescent="0.25">
      <c r="A16" s="3" t="s">
        <v>60</v>
      </c>
      <c r="B16" s="133">
        <v>0</v>
      </c>
      <c r="C16" s="23">
        <v>0</v>
      </c>
      <c r="D16" s="23">
        <v>0</v>
      </c>
      <c r="E16" s="133">
        <v>0</v>
      </c>
      <c r="F16" s="23">
        <v>0</v>
      </c>
      <c r="G16" s="23">
        <v>0</v>
      </c>
      <c r="H16" s="133">
        <v>0</v>
      </c>
      <c r="I16" s="23">
        <v>0</v>
      </c>
      <c r="J16" s="23">
        <v>0</v>
      </c>
      <c r="K16" s="133">
        <v>0</v>
      </c>
      <c r="L16" s="23">
        <v>0</v>
      </c>
      <c r="M16" s="163">
        <v>0</v>
      </c>
      <c r="N16" s="133">
        <v>0</v>
      </c>
      <c r="O16" s="152">
        <v>0</v>
      </c>
      <c r="P16" s="172">
        <v>0</v>
      </c>
      <c r="Q16" s="133">
        <v>0</v>
      </c>
      <c r="R16" s="23">
        <v>0</v>
      </c>
      <c r="S16" s="163">
        <v>0</v>
      </c>
      <c r="T16" s="133">
        <v>0</v>
      </c>
      <c r="U16" s="152">
        <v>0</v>
      </c>
      <c r="V16" s="172">
        <v>0</v>
      </c>
      <c r="W16" s="79">
        <f t="shared" si="9"/>
        <v>0</v>
      </c>
      <c r="X16" s="80">
        <f t="shared" si="10"/>
        <v>0</v>
      </c>
      <c r="Y16" s="91">
        <f t="shared" si="11"/>
        <v>0</v>
      </c>
    </row>
    <row r="17" spans="1:25" x14ac:dyDescent="0.25">
      <c r="A17" s="3" t="s">
        <v>61</v>
      </c>
      <c r="B17" s="133">
        <v>0</v>
      </c>
      <c r="C17" s="23">
        <v>0</v>
      </c>
      <c r="D17" s="23">
        <v>0</v>
      </c>
      <c r="E17" s="133">
        <v>0</v>
      </c>
      <c r="F17" s="23">
        <v>0</v>
      </c>
      <c r="G17" s="23">
        <v>0</v>
      </c>
      <c r="H17" s="133">
        <v>0</v>
      </c>
      <c r="I17" s="23">
        <v>0</v>
      </c>
      <c r="J17" s="23">
        <v>0</v>
      </c>
      <c r="K17" s="133">
        <v>0</v>
      </c>
      <c r="L17" s="23">
        <v>0</v>
      </c>
      <c r="M17" s="163">
        <v>0</v>
      </c>
      <c r="N17" s="133">
        <v>0</v>
      </c>
      <c r="O17" s="152">
        <v>0</v>
      </c>
      <c r="P17" s="172">
        <v>0</v>
      </c>
      <c r="Q17" s="133">
        <v>0</v>
      </c>
      <c r="R17" s="23">
        <v>0</v>
      </c>
      <c r="S17" s="163">
        <v>0</v>
      </c>
      <c r="T17" s="133">
        <v>0</v>
      </c>
      <c r="U17" s="152">
        <v>0</v>
      </c>
      <c r="V17" s="172">
        <v>0</v>
      </c>
      <c r="W17" s="79">
        <f t="shared" si="9"/>
        <v>0</v>
      </c>
      <c r="X17" s="80">
        <f t="shared" si="10"/>
        <v>0</v>
      </c>
      <c r="Y17" s="91">
        <f t="shared" si="11"/>
        <v>0</v>
      </c>
    </row>
    <row r="18" spans="1:25" x14ac:dyDescent="0.25">
      <c r="A18" s="3" t="s">
        <v>62</v>
      </c>
      <c r="B18" s="133">
        <v>0</v>
      </c>
      <c r="C18" s="23">
        <v>0</v>
      </c>
      <c r="D18" s="23">
        <v>0</v>
      </c>
      <c r="E18" s="133">
        <v>0</v>
      </c>
      <c r="F18" s="23">
        <v>0</v>
      </c>
      <c r="G18" s="23">
        <v>0</v>
      </c>
      <c r="H18" s="133">
        <v>0</v>
      </c>
      <c r="I18" s="23">
        <v>0</v>
      </c>
      <c r="J18" s="23">
        <v>0</v>
      </c>
      <c r="K18" s="133">
        <v>0</v>
      </c>
      <c r="L18" s="23">
        <v>0</v>
      </c>
      <c r="M18" s="163">
        <v>0</v>
      </c>
      <c r="N18" s="133">
        <v>0</v>
      </c>
      <c r="O18" s="152">
        <v>0</v>
      </c>
      <c r="P18" s="172">
        <v>0</v>
      </c>
      <c r="Q18" s="133">
        <v>0</v>
      </c>
      <c r="R18" s="23">
        <v>0</v>
      </c>
      <c r="S18" s="163">
        <v>0</v>
      </c>
      <c r="T18" s="133">
        <v>0</v>
      </c>
      <c r="U18" s="152">
        <v>0</v>
      </c>
      <c r="V18" s="172">
        <v>0</v>
      </c>
      <c r="W18" s="79">
        <f t="shared" si="9"/>
        <v>0</v>
      </c>
      <c r="X18" s="80">
        <f t="shared" si="10"/>
        <v>0</v>
      </c>
      <c r="Y18" s="91">
        <f t="shared" si="11"/>
        <v>0</v>
      </c>
    </row>
    <row r="19" spans="1:25" x14ac:dyDescent="0.25">
      <c r="A19" s="3" t="s">
        <v>63</v>
      </c>
      <c r="B19" s="133">
        <v>0</v>
      </c>
      <c r="C19" s="23">
        <v>0</v>
      </c>
      <c r="D19" s="23">
        <v>0</v>
      </c>
      <c r="E19" s="133">
        <v>0</v>
      </c>
      <c r="F19" s="23">
        <v>0</v>
      </c>
      <c r="G19" s="23">
        <v>0</v>
      </c>
      <c r="H19" s="133">
        <v>0</v>
      </c>
      <c r="I19" s="23">
        <v>0</v>
      </c>
      <c r="J19" s="23">
        <v>0</v>
      </c>
      <c r="K19" s="133">
        <v>0</v>
      </c>
      <c r="L19" s="23">
        <v>0</v>
      </c>
      <c r="M19" s="163">
        <v>0</v>
      </c>
      <c r="N19" s="133">
        <v>0</v>
      </c>
      <c r="O19" s="152">
        <v>0</v>
      </c>
      <c r="P19" s="172">
        <v>0</v>
      </c>
      <c r="Q19" s="133">
        <v>0</v>
      </c>
      <c r="R19" s="23">
        <v>0</v>
      </c>
      <c r="S19" s="163">
        <v>0</v>
      </c>
      <c r="T19" s="133">
        <v>0</v>
      </c>
      <c r="U19" s="152">
        <v>0</v>
      </c>
      <c r="V19" s="172">
        <v>0</v>
      </c>
      <c r="W19" s="79">
        <f t="shared" si="9"/>
        <v>0</v>
      </c>
      <c r="X19" s="80">
        <f t="shared" si="10"/>
        <v>0</v>
      </c>
      <c r="Y19" s="91">
        <f t="shared" si="11"/>
        <v>0</v>
      </c>
    </row>
    <row r="20" spans="1:25" x14ac:dyDescent="0.25">
      <c r="A20" s="3" t="s">
        <v>64</v>
      </c>
      <c r="B20" s="133">
        <v>0</v>
      </c>
      <c r="C20" s="23">
        <v>0</v>
      </c>
      <c r="D20" s="23">
        <v>0</v>
      </c>
      <c r="E20" s="133">
        <v>46.8</v>
      </c>
      <c r="F20" s="23">
        <v>46.8</v>
      </c>
      <c r="G20" s="23">
        <v>46.8</v>
      </c>
      <c r="H20" s="133">
        <v>0</v>
      </c>
      <c r="I20" s="23">
        <v>0</v>
      </c>
      <c r="J20" s="23">
        <v>0</v>
      </c>
      <c r="K20" s="133">
        <v>0</v>
      </c>
      <c r="L20" s="23">
        <v>0</v>
      </c>
      <c r="M20" s="163">
        <v>0</v>
      </c>
      <c r="N20" s="133">
        <v>0</v>
      </c>
      <c r="O20" s="152">
        <v>0</v>
      </c>
      <c r="P20" s="172">
        <v>0</v>
      </c>
      <c r="Q20" s="133">
        <v>0</v>
      </c>
      <c r="R20" s="23">
        <v>0</v>
      </c>
      <c r="S20" s="163">
        <v>0</v>
      </c>
      <c r="T20" s="133">
        <v>0</v>
      </c>
      <c r="U20" s="152">
        <v>0</v>
      </c>
      <c r="V20" s="172">
        <v>0</v>
      </c>
      <c r="W20" s="79">
        <f t="shared" si="9"/>
        <v>46.8</v>
      </c>
      <c r="X20" s="80">
        <f t="shared" si="10"/>
        <v>46.8</v>
      </c>
      <c r="Y20" s="91">
        <f t="shared" si="11"/>
        <v>46.8</v>
      </c>
    </row>
    <row r="21" spans="1:25" x14ac:dyDescent="0.25">
      <c r="A21" s="3" t="s">
        <v>65</v>
      </c>
      <c r="B21" s="133">
        <v>0</v>
      </c>
      <c r="C21" s="23">
        <v>0</v>
      </c>
      <c r="D21" s="23">
        <v>0</v>
      </c>
      <c r="E21" s="133">
        <v>0</v>
      </c>
      <c r="F21" s="23">
        <v>0</v>
      </c>
      <c r="G21" s="23">
        <v>0</v>
      </c>
      <c r="H21" s="133">
        <v>0</v>
      </c>
      <c r="I21" s="23">
        <v>0</v>
      </c>
      <c r="J21" s="23">
        <v>0</v>
      </c>
      <c r="K21" s="133">
        <v>156</v>
      </c>
      <c r="L21" s="23">
        <v>156</v>
      </c>
      <c r="M21" s="163">
        <v>156</v>
      </c>
      <c r="N21" s="133">
        <v>0</v>
      </c>
      <c r="O21" s="152">
        <v>0</v>
      </c>
      <c r="P21" s="172">
        <v>0</v>
      </c>
      <c r="Q21" s="133">
        <v>0</v>
      </c>
      <c r="R21" s="23">
        <v>0</v>
      </c>
      <c r="S21" s="163">
        <v>0</v>
      </c>
      <c r="T21" s="133">
        <v>0</v>
      </c>
      <c r="U21" s="152">
        <v>0</v>
      </c>
      <c r="V21" s="172">
        <v>0</v>
      </c>
      <c r="W21" s="79">
        <f t="shared" si="9"/>
        <v>156</v>
      </c>
      <c r="X21" s="80">
        <f t="shared" si="10"/>
        <v>156</v>
      </c>
      <c r="Y21" s="91">
        <f t="shared" si="11"/>
        <v>156</v>
      </c>
    </row>
    <row r="22" spans="1:25" x14ac:dyDescent="0.25">
      <c r="A22" s="3" t="s">
        <v>66</v>
      </c>
      <c r="B22" s="133">
        <v>156</v>
      </c>
      <c r="C22" s="23">
        <v>156</v>
      </c>
      <c r="D22" s="23">
        <v>156</v>
      </c>
      <c r="E22" s="133">
        <v>0</v>
      </c>
      <c r="F22" s="23">
        <v>0</v>
      </c>
      <c r="G22" s="23">
        <v>0</v>
      </c>
      <c r="H22" s="133">
        <v>0</v>
      </c>
      <c r="I22" s="23">
        <v>0</v>
      </c>
      <c r="J22" s="23">
        <v>0</v>
      </c>
      <c r="K22" s="133">
        <v>0</v>
      </c>
      <c r="L22" s="23">
        <v>0</v>
      </c>
      <c r="M22" s="163">
        <v>0</v>
      </c>
      <c r="N22" s="133">
        <v>0</v>
      </c>
      <c r="O22" s="152">
        <v>0</v>
      </c>
      <c r="P22" s="172">
        <v>0</v>
      </c>
      <c r="Q22" s="133">
        <v>0</v>
      </c>
      <c r="R22" s="23">
        <v>0</v>
      </c>
      <c r="S22" s="163">
        <v>0</v>
      </c>
      <c r="T22" s="133">
        <v>0</v>
      </c>
      <c r="U22" s="152">
        <v>0</v>
      </c>
      <c r="V22" s="172">
        <v>0</v>
      </c>
      <c r="W22" s="79">
        <f t="shared" si="9"/>
        <v>156</v>
      </c>
      <c r="X22" s="80">
        <f t="shared" si="10"/>
        <v>156</v>
      </c>
      <c r="Y22" s="91">
        <f t="shared" si="11"/>
        <v>156</v>
      </c>
    </row>
    <row r="23" spans="1:25" x14ac:dyDescent="0.25">
      <c r="A23" s="3" t="s">
        <v>67</v>
      </c>
      <c r="B23" s="133">
        <v>0</v>
      </c>
      <c r="C23" s="23">
        <v>0</v>
      </c>
      <c r="D23" s="23">
        <v>0</v>
      </c>
      <c r="E23" s="133">
        <v>156</v>
      </c>
      <c r="F23" s="23">
        <v>156</v>
      </c>
      <c r="G23" s="23">
        <v>156</v>
      </c>
      <c r="H23" s="133">
        <v>0</v>
      </c>
      <c r="I23" s="23">
        <v>0</v>
      </c>
      <c r="J23" s="23">
        <v>0</v>
      </c>
      <c r="K23" s="133">
        <v>0</v>
      </c>
      <c r="L23" s="23">
        <v>0</v>
      </c>
      <c r="M23" s="163">
        <v>0</v>
      </c>
      <c r="N23" s="133">
        <v>0</v>
      </c>
      <c r="O23" s="152">
        <v>0</v>
      </c>
      <c r="P23" s="172">
        <v>0</v>
      </c>
      <c r="Q23" s="133">
        <v>0</v>
      </c>
      <c r="R23" s="23">
        <v>0</v>
      </c>
      <c r="S23" s="163">
        <v>0</v>
      </c>
      <c r="T23" s="133">
        <v>0</v>
      </c>
      <c r="U23" s="152">
        <v>0</v>
      </c>
      <c r="V23" s="172">
        <v>0</v>
      </c>
      <c r="W23" s="79">
        <f t="shared" si="9"/>
        <v>156</v>
      </c>
      <c r="X23" s="80">
        <f t="shared" si="10"/>
        <v>156</v>
      </c>
      <c r="Y23" s="91">
        <f t="shared" si="11"/>
        <v>156</v>
      </c>
    </row>
    <row r="24" spans="1:25" x14ac:dyDescent="0.25">
      <c r="A24" s="3" t="s">
        <v>68</v>
      </c>
      <c r="B24" s="133">
        <v>0</v>
      </c>
      <c r="C24" s="23">
        <v>0</v>
      </c>
      <c r="D24" s="23">
        <v>0</v>
      </c>
      <c r="E24" s="133">
        <v>0</v>
      </c>
      <c r="F24" s="23">
        <v>0</v>
      </c>
      <c r="G24" s="23">
        <v>0</v>
      </c>
      <c r="H24" s="133">
        <v>0</v>
      </c>
      <c r="I24" s="23">
        <v>0</v>
      </c>
      <c r="J24" s="23">
        <v>0</v>
      </c>
      <c r="K24" s="133">
        <v>249.6</v>
      </c>
      <c r="L24" s="23">
        <v>249.6</v>
      </c>
      <c r="M24" s="163">
        <v>249.6</v>
      </c>
      <c r="N24" s="133">
        <v>0</v>
      </c>
      <c r="O24" s="152">
        <v>0</v>
      </c>
      <c r="P24" s="172">
        <v>0</v>
      </c>
      <c r="Q24" s="133">
        <v>0</v>
      </c>
      <c r="R24" s="23">
        <v>0</v>
      </c>
      <c r="S24" s="163">
        <v>0</v>
      </c>
      <c r="T24" s="133">
        <v>0</v>
      </c>
      <c r="U24" s="152">
        <v>0</v>
      </c>
      <c r="V24" s="172">
        <v>0</v>
      </c>
      <c r="W24" s="79">
        <f t="shared" si="9"/>
        <v>249.6</v>
      </c>
      <c r="X24" s="80">
        <f t="shared" si="10"/>
        <v>249.6</v>
      </c>
      <c r="Y24" s="91">
        <f t="shared" si="11"/>
        <v>249.6</v>
      </c>
    </row>
    <row r="25" spans="1:25" x14ac:dyDescent="0.25">
      <c r="A25" s="3" t="s">
        <v>76</v>
      </c>
      <c r="B25" s="133">
        <v>124.8</v>
      </c>
      <c r="C25" s="23">
        <v>124.8</v>
      </c>
      <c r="D25" s="23">
        <v>124.8</v>
      </c>
      <c r="E25" s="133">
        <v>0</v>
      </c>
      <c r="F25" s="23">
        <v>0</v>
      </c>
      <c r="G25" s="23">
        <v>0</v>
      </c>
      <c r="H25" s="133">
        <v>0</v>
      </c>
      <c r="I25" s="23">
        <v>0</v>
      </c>
      <c r="J25" s="23">
        <v>0</v>
      </c>
      <c r="K25" s="133"/>
      <c r="L25" s="23"/>
      <c r="M25" s="163"/>
      <c r="N25" s="133">
        <v>0</v>
      </c>
      <c r="O25" s="152">
        <v>0</v>
      </c>
      <c r="P25" s="172">
        <v>0</v>
      </c>
      <c r="Q25" s="133">
        <v>0</v>
      </c>
      <c r="R25" s="23">
        <v>0</v>
      </c>
      <c r="S25" s="163">
        <v>0</v>
      </c>
      <c r="T25" s="133">
        <v>0</v>
      </c>
      <c r="U25" s="152">
        <v>0</v>
      </c>
      <c r="V25" s="172">
        <v>0</v>
      </c>
      <c r="W25" s="79">
        <f t="shared" si="9"/>
        <v>124.8</v>
      </c>
      <c r="X25" s="80">
        <f t="shared" si="10"/>
        <v>124.8</v>
      </c>
      <c r="Y25" s="91">
        <f t="shared" si="11"/>
        <v>124.8</v>
      </c>
    </row>
    <row r="26" spans="1:25" x14ac:dyDescent="0.25">
      <c r="A26" s="3" t="s">
        <v>69</v>
      </c>
      <c r="B26" s="133">
        <v>156</v>
      </c>
      <c r="C26" s="23">
        <v>156</v>
      </c>
      <c r="D26" s="23">
        <v>156</v>
      </c>
      <c r="E26" s="133">
        <v>234</v>
      </c>
      <c r="F26" s="23">
        <v>234</v>
      </c>
      <c r="G26" s="23">
        <v>234</v>
      </c>
      <c r="H26" s="133">
        <v>0</v>
      </c>
      <c r="I26" s="23">
        <v>0</v>
      </c>
      <c r="J26" s="23">
        <v>0</v>
      </c>
      <c r="K26" s="133">
        <v>0</v>
      </c>
      <c r="L26" s="23">
        <v>0</v>
      </c>
      <c r="M26" s="163">
        <v>0</v>
      </c>
      <c r="N26" s="133">
        <v>0</v>
      </c>
      <c r="O26" s="152">
        <v>0</v>
      </c>
      <c r="P26" s="172">
        <v>0</v>
      </c>
      <c r="Q26" s="133">
        <v>0</v>
      </c>
      <c r="R26" s="23">
        <v>0</v>
      </c>
      <c r="S26" s="163">
        <v>0</v>
      </c>
      <c r="T26" s="133">
        <v>0</v>
      </c>
      <c r="U26" s="152">
        <v>0</v>
      </c>
      <c r="V26" s="172">
        <v>0</v>
      </c>
      <c r="W26" s="79">
        <f t="shared" si="9"/>
        <v>390</v>
      </c>
      <c r="X26" s="80">
        <f t="shared" si="10"/>
        <v>390</v>
      </c>
      <c r="Y26" s="91">
        <f t="shared" si="11"/>
        <v>390</v>
      </c>
    </row>
    <row r="27" spans="1:25" x14ac:dyDescent="0.25">
      <c r="A27" s="3" t="s">
        <v>70</v>
      </c>
      <c r="B27" s="133">
        <v>0</v>
      </c>
      <c r="C27" s="23">
        <v>0</v>
      </c>
      <c r="D27" s="23">
        <v>0</v>
      </c>
      <c r="E27" s="133">
        <v>249.6</v>
      </c>
      <c r="F27" s="23">
        <v>249.6</v>
      </c>
      <c r="G27" s="23">
        <v>249.6</v>
      </c>
      <c r="H27" s="133">
        <v>0</v>
      </c>
      <c r="I27" s="23">
        <v>0</v>
      </c>
      <c r="J27" s="23">
        <v>0</v>
      </c>
      <c r="K27" s="133">
        <v>0</v>
      </c>
      <c r="L27" s="23">
        <v>0</v>
      </c>
      <c r="M27" s="163">
        <v>0</v>
      </c>
      <c r="N27" s="133">
        <v>0</v>
      </c>
      <c r="O27" s="152">
        <v>0</v>
      </c>
      <c r="P27" s="172">
        <v>0</v>
      </c>
      <c r="Q27" s="133">
        <v>0</v>
      </c>
      <c r="R27" s="23">
        <v>0</v>
      </c>
      <c r="S27" s="163">
        <v>0</v>
      </c>
      <c r="T27" s="133">
        <v>0</v>
      </c>
      <c r="U27" s="152">
        <v>0</v>
      </c>
      <c r="V27" s="172">
        <v>0</v>
      </c>
      <c r="W27" s="79">
        <f t="shared" si="9"/>
        <v>249.6</v>
      </c>
      <c r="X27" s="80">
        <f t="shared" si="10"/>
        <v>249.6</v>
      </c>
      <c r="Y27" s="91">
        <f t="shared" si="11"/>
        <v>249.6</v>
      </c>
    </row>
    <row r="28" spans="1:25" x14ac:dyDescent="0.25">
      <c r="A28" s="3" t="s">
        <v>71</v>
      </c>
      <c r="B28" s="133">
        <v>0</v>
      </c>
      <c r="C28" s="23">
        <v>0</v>
      </c>
      <c r="D28" s="23">
        <v>0</v>
      </c>
      <c r="E28" s="133">
        <v>93.6</v>
      </c>
      <c r="F28" s="23">
        <v>93.6</v>
      </c>
      <c r="G28" s="23">
        <v>93.6</v>
      </c>
      <c r="H28" s="133">
        <v>0</v>
      </c>
      <c r="I28" s="23">
        <v>0</v>
      </c>
      <c r="J28" s="23">
        <v>0</v>
      </c>
      <c r="K28" s="133">
        <v>249.6</v>
      </c>
      <c r="L28" s="23">
        <v>249.6</v>
      </c>
      <c r="M28" s="163">
        <v>249.6</v>
      </c>
      <c r="N28" s="133">
        <v>0</v>
      </c>
      <c r="O28" s="152">
        <v>0</v>
      </c>
      <c r="P28" s="172">
        <v>0</v>
      </c>
      <c r="Q28" s="133">
        <v>0</v>
      </c>
      <c r="R28" s="23">
        <v>0</v>
      </c>
      <c r="S28" s="163">
        <v>0</v>
      </c>
      <c r="T28" s="133">
        <v>0</v>
      </c>
      <c r="U28" s="152">
        <v>0</v>
      </c>
      <c r="V28" s="172">
        <v>0</v>
      </c>
      <c r="W28" s="79">
        <f t="shared" si="9"/>
        <v>343.2</v>
      </c>
      <c r="X28" s="80">
        <f t="shared" si="10"/>
        <v>343.2</v>
      </c>
      <c r="Y28" s="91">
        <f t="shared" si="11"/>
        <v>343.2</v>
      </c>
    </row>
    <row r="29" spans="1:25" x14ac:dyDescent="0.25">
      <c r="A29" s="3" t="s">
        <v>72</v>
      </c>
      <c r="B29" s="133">
        <v>187.2</v>
      </c>
      <c r="C29" s="23">
        <v>187.2</v>
      </c>
      <c r="D29" s="23">
        <v>187.2</v>
      </c>
      <c r="E29" s="24">
        <v>0</v>
      </c>
      <c r="F29" s="23">
        <v>0</v>
      </c>
      <c r="G29" s="23">
        <v>0</v>
      </c>
      <c r="H29" s="133">
        <v>31.2</v>
      </c>
      <c r="I29" s="23">
        <v>31.2</v>
      </c>
      <c r="J29" s="23">
        <v>31.2</v>
      </c>
      <c r="K29" s="133">
        <v>0</v>
      </c>
      <c r="L29" s="23">
        <v>0</v>
      </c>
      <c r="M29" s="163">
        <v>0</v>
      </c>
      <c r="N29" s="133">
        <v>0</v>
      </c>
      <c r="O29" s="152">
        <v>0</v>
      </c>
      <c r="P29" s="172">
        <v>0</v>
      </c>
      <c r="Q29" s="133">
        <v>0</v>
      </c>
      <c r="R29" s="23">
        <v>0</v>
      </c>
      <c r="S29" s="163">
        <v>0</v>
      </c>
      <c r="T29" s="133">
        <v>0</v>
      </c>
      <c r="U29" s="152">
        <v>0</v>
      </c>
      <c r="V29" s="172">
        <v>0</v>
      </c>
      <c r="W29" s="79">
        <f t="shared" si="9"/>
        <v>218.39999999999998</v>
      </c>
      <c r="X29" s="80">
        <f t="shared" si="10"/>
        <v>218.39999999999998</v>
      </c>
      <c r="Y29" s="91">
        <f t="shared" si="11"/>
        <v>218.39999999999998</v>
      </c>
    </row>
    <row r="30" spans="1:25" x14ac:dyDescent="0.25">
      <c r="A30" s="3" t="s">
        <v>74</v>
      </c>
      <c r="B30" s="133">
        <v>0</v>
      </c>
      <c r="C30" s="23">
        <v>0</v>
      </c>
      <c r="D30" s="23">
        <v>0</v>
      </c>
      <c r="E30" s="24">
        <v>0</v>
      </c>
      <c r="F30" s="23">
        <v>0</v>
      </c>
      <c r="G30" s="23">
        <v>0</v>
      </c>
      <c r="H30" s="133">
        <v>0</v>
      </c>
      <c r="I30" s="23">
        <v>0</v>
      </c>
      <c r="J30" s="23">
        <v>0</v>
      </c>
      <c r="K30" s="133">
        <v>0</v>
      </c>
      <c r="L30" s="23">
        <v>0</v>
      </c>
      <c r="M30" s="163">
        <v>0</v>
      </c>
      <c r="N30" s="133">
        <v>0</v>
      </c>
      <c r="O30" s="152">
        <v>0</v>
      </c>
      <c r="P30" s="172">
        <v>0</v>
      </c>
      <c r="Q30" s="133">
        <v>0</v>
      </c>
      <c r="R30" s="23">
        <v>0</v>
      </c>
      <c r="S30" s="163">
        <v>0</v>
      </c>
      <c r="T30" s="133">
        <v>0</v>
      </c>
      <c r="U30" s="152">
        <v>0</v>
      </c>
      <c r="V30" s="172">
        <v>0</v>
      </c>
      <c r="W30" s="79">
        <f t="shared" si="9"/>
        <v>0</v>
      </c>
      <c r="X30" s="80">
        <f t="shared" si="10"/>
        <v>0</v>
      </c>
      <c r="Y30" s="91">
        <f t="shared" si="11"/>
        <v>0</v>
      </c>
    </row>
    <row r="31" spans="1:25" x14ac:dyDescent="0.25">
      <c r="A31" s="3" t="s">
        <v>75</v>
      </c>
      <c r="B31" s="133">
        <v>0</v>
      </c>
      <c r="C31" s="23">
        <v>0</v>
      </c>
      <c r="D31" s="23">
        <v>0</v>
      </c>
      <c r="E31" s="24">
        <v>0</v>
      </c>
      <c r="F31" s="23">
        <v>0</v>
      </c>
      <c r="G31" s="23">
        <v>0</v>
      </c>
      <c r="H31" s="133">
        <v>0</v>
      </c>
      <c r="I31" s="23">
        <v>0</v>
      </c>
      <c r="J31" s="23">
        <v>0</v>
      </c>
      <c r="K31" s="133">
        <v>0</v>
      </c>
      <c r="L31" s="23">
        <v>0</v>
      </c>
      <c r="M31" s="163">
        <v>0</v>
      </c>
      <c r="N31" s="133">
        <v>0</v>
      </c>
      <c r="O31" s="152">
        <v>0</v>
      </c>
      <c r="P31" s="172">
        <v>0</v>
      </c>
      <c r="Q31" s="133">
        <v>0</v>
      </c>
      <c r="R31" s="23">
        <v>0</v>
      </c>
      <c r="S31" s="163">
        <v>0</v>
      </c>
      <c r="T31" s="133">
        <v>0</v>
      </c>
      <c r="U31" s="152">
        <v>0</v>
      </c>
      <c r="V31" s="172">
        <v>0</v>
      </c>
      <c r="W31" s="79">
        <f t="shared" si="9"/>
        <v>0</v>
      </c>
      <c r="X31" s="80">
        <f t="shared" si="10"/>
        <v>0</v>
      </c>
      <c r="Y31" s="91">
        <f t="shared" si="11"/>
        <v>0</v>
      </c>
    </row>
    <row r="32" spans="1:25" x14ac:dyDescent="0.25">
      <c r="A32" s="3" t="s">
        <v>77</v>
      </c>
      <c r="B32" s="24">
        <v>0</v>
      </c>
      <c r="C32" s="25">
        <v>0</v>
      </c>
      <c r="D32" s="25">
        <v>0</v>
      </c>
      <c r="E32" s="24">
        <v>171.6</v>
      </c>
      <c r="F32" s="25">
        <v>171.6</v>
      </c>
      <c r="G32" s="25">
        <v>171.6</v>
      </c>
      <c r="H32" s="133">
        <v>31.2</v>
      </c>
      <c r="I32" s="23">
        <v>31.2</v>
      </c>
      <c r="J32" s="23">
        <v>31.2</v>
      </c>
      <c r="K32" s="133">
        <v>93.6</v>
      </c>
      <c r="L32" s="23">
        <v>93.6</v>
      </c>
      <c r="M32" s="163">
        <v>93.6</v>
      </c>
      <c r="N32" s="133">
        <v>0</v>
      </c>
      <c r="O32" s="152">
        <v>0</v>
      </c>
      <c r="P32" s="172">
        <v>0</v>
      </c>
      <c r="Q32" s="133">
        <v>0</v>
      </c>
      <c r="R32" s="23">
        <v>0</v>
      </c>
      <c r="S32" s="163">
        <v>0</v>
      </c>
      <c r="T32" s="133">
        <v>0</v>
      </c>
      <c r="U32" s="152">
        <v>0</v>
      </c>
      <c r="V32" s="172">
        <v>0</v>
      </c>
      <c r="W32" s="79">
        <f t="shared" si="9"/>
        <v>296.39999999999998</v>
      </c>
      <c r="X32" s="80">
        <f t="shared" si="10"/>
        <v>296.39999999999998</v>
      </c>
      <c r="Y32" s="91">
        <f t="shared" si="11"/>
        <v>296.39999999999998</v>
      </c>
    </row>
    <row r="33" spans="1:25" x14ac:dyDescent="0.25">
      <c r="A33" s="3" t="s">
        <v>78</v>
      </c>
      <c r="B33" s="24">
        <v>156</v>
      </c>
      <c r="C33" s="25">
        <v>156</v>
      </c>
      <c r="D33" s="25">
        <v>156</v>
      </c>
      <c r="E33" s="24">
        <v>0</v>
      </c>
      <c r="F33" s="25">
        <v>0</v>
      </c>
      <c r="G33" s="25">
        <v>0</v>
      </c>
      <c r="H33" s="133"/>
      <c r="I33" s="23"/>
      <c r="J33" s="23"/>
      <c r="K33" s="133">
        <v>171.6</v>
      </c>
      <c r="L33" s="23">
        <v>171.6</v>
      </c>
      <c r="M33" s="163">
        <v>171.6</v>
      </c>
      <c r="N33" s="133">
        <v>0</v>
      </c>
      <c r="O33" s="152">
        <v>0</v>
      </c>
      <c r="P33" s="172">
        <v>0</v>
      </c>
      <c r="Q33" s="133">
        <v>0</v>
      </c>
      <c r="R33" s="23">
        <v>0</v>
      </c>
      <c r="S33" s="163">
        <v>0</v>
      </c>
      <c r="T33" s="133">
        <v>0</v>
      </c>
      <c r="U33" s="152">
        <v>0</v>
      </c>
      <c r="V33" s="172">
        <v>0</v>
      </c>
      <c r="W33" s="79">
        <f t="shared" si="9"/>
        <v>327.60000000000002</v>
      </c>
      <c r="X33" s="80">
        <f t="shared" si="10"/>
        <v>327.60000000000002</v>
      </c>
      <c r="Y33" s="91">
        <f t="shared" si="11"/>
        <v>327.60000000000002</v>
      </c>
    </row>
    <row r="34" spans="1:25" x14ac:dyDescent="0.25">
      <c r="A34" s="3" t="s">
        <v>79</v>
      </c>
      <c r="B34" s="24">
        <v>202.8</v>
      </c>
      <c r="C34" s="25">
        <v>202.8</v>
      </c>
      <c r="D34" s="25">
        <v>202.8</v>
      </c>
      <c r="E34" s="24">
        <v>0</v>
      </c>
      <c r="F34" s="25">
        <v>0</v>
      </c>
      <c r="G34" s="25">
        <v>0</v>
      </c>
      <c r="H34" s="133"/>
      <c r="I34" s="23"/>
      <c r="J34" s="23"/>
      <c r="K34" s="24">
        <v>93.6</v>
      </c>
      <c r="L34" s="25">
        <v>93.6</v>
      </c>
      <c r="M34" s="176">
        <v>93.6</v>
      </c>
      <c r="N34" s="133">
        <v>0</v>
      </c>
      <c r="O34" s="152">
        <v>0</v>
      </c>
      <c r="P34" s="172">
        <v>0</v>
      </c>
      <c r="Q34" s="133">
        <v>0</v>
      </c>
      <c r="R34" s="23">
        <v>0</v>
      </c>
      <c r="S34" s="163">
        <v>0</v>
      </c>
      <c r="T34" s="133">
        <v>0</v>
      </c>
      <c r="U34" s="152">
        <v>0</v>
      </c>
      <c r="V34" s="172">
        <v>0</v>
      </c>
      <c r="W34" s="79">
        <f t="shared" si="9"/>
        <v>296.39999999999998</v>
      </c>
      <c r="X34" s="80">
        <f t="shared" si="10"/>
        <v>296.39999999999998</v>
      </c>
      <c r="Y34" s="91">
        <f t="shared" si="11"/>
        <v>296.39999999999998</v>
      </c>
    </row>
    <row r="35" spans="1:25" x14ac:dyDescent="0.25">
      <c r="A35" s="3" t="s">
        <v>80</v>
      </c>
      <c r="B35" s="24">
        <v>234</v>
      </c>
      <c r="C35" s="25">
        <v>234</v>
      </c>
      <c r="D35" s="25">
        <v>234</v>
      </c>
      <c r="E35" s="24">
        <v>0</v>
      </c>
      <c r="F35" s="25">
        <v>0</v>
      </c>
      <c r="G35" s="25">
        <v>0</v>
      </c>
      <c r="H35" s="133"/>
      <c r="I35" s="23"/>
      <c r="J35" s="23"/>
      <c r="K35" s="24">
        <v>0</v>
      </c>
      <c r="L35" s="25">
        <v>0</v>
      </c>
      <c r="M35" s="176">
        <v>0</v>
      </c>
      <c r="N35" s="133">
        <v>0</v>
      </c>
      <c r="O35" s="152">
        <v>0</v>
      </c>
      <c r="P35" s="172">
        <v>0</v>
      </c>
      <c r="Q35" s="133">
        <v>0</v>
      </c>
      <c r="R35" s="23">
        <v>0</v>
      </c>
      <c r="S35" s="163">
        <v>0</v>
      </c>
      <c r="T35" s="133">
        <v>0</v>
      </c>
      <c r="U35" s="152">
        <v>0</v>
      </c>
      <c r="V35" s="172">
        <v>0</v>
      </c>
      <c r="W35" s="79">
        <f t="shared" si="9"/>
        <v>234</v>
      </c>
      <c r="X35" s="80">
        <f t="shared" si="10"/>
        <v>234</v>
      </c>
      <c r="Y35" s="91">
        <f t="shared" si="11"/>
        <v>234</v>
      </c>
    </row>
    <row r="36" spans="1:25" x14ac:dyDescent="0.25">
      <c r="A36" s="3" t="s">
        <v>81</v>
      </c>
      <c r="B36" s="24">
        <v>0</v>
      </c>
      <c r="C36" s="25">
        <v>0</v>
      </c>
      <c r="D36" s="25">
        <v>0</v>
      </c>
      <c r="E36" s="24">
        <v>0</v>
      </c>
      <c r="F36" s="25">
        <v>0</v>
      </c>
      <c r="G36" s="25">
        <v>0</v>
      </c>
      <c r="H36" s="24"/>
      <c r="I36" s="25"/>
      <c r="J36" s="25"/>
      <c r="K36" s="24">
        <v>249.6</v>
      </c>
      <c r="L36" s="25">
        <v>249.6</v>
      </c>
      <c r="M36" s="176">
        <v>249.6</v>
      </c>
      <c r="N36" s="133">
        <v>0</v>
      </c>
      <c r="O36" s="152">
        <v>0</v>
      </c>
      <c r="P36" s="172">
        <v>0</v>
      </c>
      <c r="Q36" s="133">
        <v>0</v>
      </c>
      <c r="R36" s="23">
        <v>0</v>
      </c>
      <c r="S36" s="163">
        <v>0</v>
      </c>
      <c r="T36" s="133">
        <v>0</v>
      </c>
      <c r="U36" s="152">
        <v>0</v>
      </c>
      <c r="V36" s="172">
        <v>0</v>
      </c>
      <c r="W36" s="79">
        <f t="shared" si="9"/>
        <v>249.6</v>
      </c>
      <c r="X36" s="80">
        <f t="shared" si="10"/>
        <v>249.6</v>
      </c>
      <c r="Y36" s="91">
        <f t="shared" si="11"/>
        <v>249.6</v>
      </c>
    </row>
    <row r="37" spans="1:25" x14ac:dyDescent="0.25">
      <c r="A37" s="3" t="s">
        <v>82</v>
      </c>
      <c r="B37" s="24">
        <v>0</v>
      </c>
      <c r="C37" s="25">
        <v>0</v>
      </c>
      <c r="D37" s="25">
        <v>0</v>
      </c>
      <c r="E37" s="24">
        <v>280.8</v>
      </c>
      <c r="F37" s="25">
        <v>280.8</v>
      </c>
      <c r="G37" s="25">
        <v>280.8</v>
      </c>
      <c r="H37" s="133"/>
      <c r="I37" s="23"/>
      <c r="J37" s="23"/>
      <c r="K37" s="24">
        <v>0</v>
      </c>
      <c r="L37" s="25">
        <v>0</v>
      </c>
      <c r="M37" s="176">
        <v>0</v>
      </c>
      <c r="N37" s="133">
        <v>0</v>
      </c>
      <c r="O37" s="152">
        <v>0</v>
      </c>
      <c r="P37" s="172">
        <v>0</v>
      </c>
      <c r="Q37" s="133">
        <v>0</v>
      </c>
      <c r="R37" s="23">
        <v>0</v>
      </c>
      <c r="S37" s="163">
        <v>0</v>
      </c>
      <c r="T37" s="133">
        <v>0</v>
      </c>
      <c r="U37" s="152">
        <v>0</v>
      </c>
      <c r="V37" s="172">
        <v>0</v>
      </c>
      <c r="W37" s="79">
        <f t="shared" si="9"/>
        <v>280.8</v>
      </c>
      <c r="X37" s="80">
        <f t="shared" si="10"/>
        <v>280.8</v>
      </c>
      <c r="Y37" s="91">
        <f t="shared" si="11"/>
        <v>280.8</v>
      </c>
    </row>
    <row r="38" spans="1:25" x14ac:dyDescent="0.25">
      <c r="A38" s="3" t="s">
        <v>83</v>
      </c>
      <c r="B38" s="24">
        <v>78</v>
      </c>
      <c r="C38" s="25">
        <v>78</v>
      </c>
      <c r="D38" s="25">
        <v>78</v>
      </c>
      <c r="E38" s="24">
        <v>109.2</v>
      </c>
      <c r="F38" s="25">
        <v>109.2</v>
      </c>
      <c r="G38" s="25">
        <v>109.2</v>
      </c>
      <c r="H38" s="24"/>
      <c r="I38" s="25"/>
      <c r="J38" s="25"/>
      <c r="K38" s="24">
        <v>0</v>
      </c>
      <c r="L38" s="25">
        <v>0</v>
      </c>
      <c r="M38" s="176">
        <v>0</v>
      </c>
      <c r="N38" s="133">
        <v>0</v>
      </c>
      <c r="O38" s="152">
        <v>0</v>
      </c>
      <c r="P38" s="172">
        <v>0</v>
      </c>
      <c r="Q38" s="133">
        <v>234</v>
      </c>
      <c r="R38" s="23">
        <v>234</v>
      </c>
      <c r="S38" s="163">
        <v>234</v>
      </c>
      <c r="T38" s="133">
        <v>15.6</v>
      </c>
      <c r="U38" s="152">
        <v>15.6</v>
      </c>
      <c r="V38" s="172">
        <v>15.6</v>
      </c>
      <c r="W38" s="79">
        <f t="shared" si="9"/>
        <v>421.2</v>
      </c>
      <c r="X38" s="80">
        <f t="shared" si="10"/>
        <v>421.2</v>
      </c>
      <c r="Y38" s="91">
        <f t="shared" si="11"/>
        <v>421.2</v>
      </c>
    </row>
    <row r="39" spans="1:25" x14ac:dyDescent="0.25">
      <c r="A39" s="3" t="s">
        <v>84</v>
      </c>
      <c r="B39" s="24">
        <v>0</v>
      </c>
      <c r="C39" s="25">
        <v>0</v>
      </c>
      <c r="D39" s="25">
        <v>0</v>
      </c>
      <c r="E39" s="24">
        <v>234</v>
      </c>
      <c r="F39" s="25">
        <v>234</v>
      </c>
      <c r="G39" s="25">
        <v>234</v>
      </c>
      <c r="H39" s="133"/>
      <c r="I39" s="23"/>
      <c r="J39" s="23"/>
      <c r="K39" s="24">
        <v>62.4</v>
      </c>
      <c r="L39" s="25">
        <v>62.4</v>
      </c>
      <c r="M39" s="176">
        <v>62.4</v>
      </c>
      <c r="N39" s="133">
        <v>0</v>
      </c>
      <c r="O39" s="152">
        <v>0</v>
      </c>
      <c r="P39" s="172">
        <v>0</v>
      </c>
      <c r="Q39" s="133">
        <v>0</v>
      </c>
      <c r="R39" s="23">
        <v>0</v>
      </c>
      <c r="S39" s="163">
        <v>0</v>
      </c>
      <c r="T39" s="133">
        <v>0</v>
      </c>
      <c r="U39" s="152">
        <v>0</v>
      </c>
      <c r="V39" s="172">
        <v>0</v>
      </c>
      <c r="W39" s="79">
        <f t="shared" si="9"/>
        <v>296.39999999999998</v>
      </c>
      <c r="X39" s="80">
        <f t="shared" si="10"/>
        <v>296.39999999999998</v>
      </c>
      <c r="Y39" s="91">
        <f t="shared" si="11"/>
        <v>296.39999999999998</v>
      </c>
    </row>
    <row r="40" spans="1:25" x14ac:dyDescent="0.25">
      <c r="A40" s="3" t="s">
        <v>85</v>
      </c>
      <c r="B40" s="24">
        <v>171.8</v>
      </c>
      <c r="C40" s="25">
        <v>171.8</v>
      </c>
      <c r="D40" s="25">
        <v>171.8</v>
      </c>
      <c r="E40" s="24">
        <v>0</v>
      </c>
      <c r="F40" s="25">
        <v>0</v>
      </c>
      <c r="G40" s="25">
        <v>0</v>
      </c>
      <c r="H40" s="133"/>
      <c r="I40" s="23"/>
      <c r="J40" s="23"/>
      <c r="K40" s="24">
        <v>156</v>
      </c>
      <c r="L40" s="25">
        <v>156</v>
      </c>
      <c r="M40" s="176">
        <v>156</v>
      </c>
      <c r="N40" s="133">
        <v>0</v>
      </c>
      <c r="O40" s="152">
        <v>0</v>
      </c>
      <c r="P40" s="172">
        <v>0</v>
      </c>
      <c r="Q40" s="133">
        <v>0</v>
      </c>
      <c r="R40" s="23">
        <v>0</v>
      </c>
      <c r="S40" s="163">
        <v>0</v>
      </c>
      <c r="T40" s="133">
        <v>0</v>
      </c>
      <c r="U40" s="152">
        <v>0</v>
      </c>
      <c r="V40" s="172">
        <v>0</v>
      </c>
      <c r="W40" s="79">
        <f t="shared" si="9"/>
        <v>327.8</v>
      </c>
      <c r="X40" s="80">
        <f t="shared" si="10"/>
        <v>327.8</v>
      </c>
      <c r="Y40" s="91">
        <f t="shared" si="11"/>
        <v>327.8</v>
      </c>
    </row>
    <row r="41" spans="1:25" x14ac:dyDescent="0.25">
      <c r="A41" s="3" t="s">
        <v>86</v>
      </c>
      <c r="B41" s="24">
        <v>0</v>
      </c>
      <c r="C41" s="25">
        <v>0</v>
      </c>
      <c r="D41" s="25">
        <v>0</v>
      </c>
      <c r="E41" s="24">
        <v>0</v>
      </c>
      <c r="F41" s="25">
        <v>0</v>
      </c>
      <c r="G41" s="25">
        <v>0</v>
      </c>
      <c r="H41" s="24"/>
      <c r="I41" s="25"/>
      <c r="J41" s="25"/>
      <c r="K41" s="24">
        <v>280.8</v>
      </c>
      <c r="L41" s="25">
        <v>280.8</v>
      </c>
      <c r="M41" s="176">
        <v>280.8</v>
      </c>
      <c r="N41" s="133">
        <v>0</v>
      </c>
      <c r="O41" s="152">
        <v>0</v>
      </c>
      <c r="P41" s="172">
        <v>0</v>
      </c>
      <c r="Q41" s="133">
        <v>0</v>
      </c>
      <c r="R41" s="23">
        <v>0</v>
      </c>
      <c r="S41" s="163">
        <v>0</v>
      </c>
      <c r="T41" s="133">
        <v>0</v>
      </c>
      <c r="U41" s="152">
        <v>0</v>
      </c>
      <c r="V41" s="172">
        <v>0</v>
      </c>
      <c r="W41" s="79">
        <f t="shared" si="9"/>
        <v>280.8</v>
      </c>
      <c r="X41" s="80">
        <f t="shared" si="10"/>
        <v>280.8</v>
      </c>
      <c r="Y41" s="91">
        <f t="shared" si="11"/>
        <v>280.8</v>
      </c>
    </row>
    <row r="42" spans="1:25" x14ac:dyDescent="0.25">
      <c r="A42" s="3" t="s">
        <v>87</v>
      </c>
      <c r="B42" s="24">
        <v>140.4</v>
      </c>
      <c r="C42" s="25">
        <v>140.4</v>
      </c>
      <c r="D42" s="25">
        <v>140.4</v>
      </c>
      <c r="E42" s="24">
        <v>0</v>
      </c>
      <c r="F42" s="25">
        <v>0</v>
      </c>
      <c r="G42" s="25">
        <v>0</v>
      </c>
      <c r="H42" s="24"/>
      <c r="I42" s="25"/>
      <c r="J42" s="25"/>
      <c r="K42" s="24">
        <v>46.8</v>
      </c>
      <c r="L42" s="25">
        <v>46.8</v>
      </c>
      <c r="M42" s="176">
        <v>46.8</v>
      </c>
      <c r="N42" s="133">
        <v>0</v>
      </c>
      <c r="O42" s="152">
        <v>0</v>
      </c>
      <c r="P42" s="172">
        <v>0</v>
      </c>
      <c r="Q42" s="24">
        <v>0</v>
      </c>
      <c r="R42" s="25">
        <v>0</v>
      </c>
      <c r="S42" s="176">
        <v>0</v>
      </c>
      <c r="T42" s="133">
        <v>0</v>
      </c>
      <c r="U42" s="152">
        <v>0</v>
      </c>
      <c r="V42" s="172">
        <v>0</v>
      </c>
      <c r="W42" s="79">
        <f t="shared" si="9"/>
        <v>187.2</v>
      </c>
      <c r="X42" s="80">
        <f t="shared" si="10"/>
        <v>187.2</v>
      </c>
      <c r="Y42" s="91">
        <f t="shared" si="11"/>
        <v>187.2</v>
      </c>
    </row>
    <row r="43" spans="1:25" x14ac:dyDescent="0.25">
      <c r="A43" s="3" t="s">
        <v>88</v>
      </c>
      <c r="B43" s="24">
        <v>0</v>
      </c>
      <c r="C43" s="25">
        <v>0</v>
      </c>
      <c r="D43" s="25">
        <v>0</v>
      </c>
      <c r="E43" s="24">
        <v>0</v>
      </c>
      <c r="F43" s="25">
        <v>0</v>
      </c>
      <c r="G43" s="25">
        <v>0</v>
      </c>
      <c r="H43" s="24"/>
      <c r="I43" s="25"/>
      <c r="J43" s="25"/>
      <c r="K43" s="24">
        <v>0</v>
      </c>
      <c r="L43" s="25">
        <v>0</v>
      </c>
      <c r="M43" s="176">
        <v>0</v>
      </c>
      <c r="N43" s="133">
        <v>0</v>
      </c>
      <c r="O43" s="152">
        <v>0</v>
      </c>
      <c r="P43" s="172">
        <v>0</v>
      </c>
      <c r="Q43" s="24">
        <v>0</v>
      </c>
      <c r="R43" s="25">
        <v>0</v>
      </c>
      <c r="S43" s="176">
        <v>0</v>
      </c>
      <c r="T43" s="133">
        <v>0</v>
      </c>
      <c r="U43" s="152">
        <v>0</v>
      </c>
      <c r="V43" s="172">
        <v>0</v>
      </c>
      <c r="W43" s="79">
        <f t="shared" si="9"/>
        <v>0</v>
      </c>
      <c r="X43" s="80">
        <f t="shared" si="10"/>
        <v>0</v>
      </c>
      <c r="Y43" s="91">
        <f t="shared" si="11"/>
        <v>0</v>
      </c>
    </row>
    <row r="44" spans="1:25" x14ac:dyDescent="0.25">
      <c r="A44" s="3" t="s">
        <v>89</v>
      </c>
      <c r="B44" s="24">
        <v>0</v>
      </c>
      <c r="C44" s="25">
        <v>0</v>
      </c>
      <c r="D44" s="25">
        <v>0</v>
      </c>
      <c r="E44" s="24">
        <v>0</v>
      </c>
      <c r="F44" s="25">
        <v>0</v>
      </c>
      <c r="G44" s="25">
        <v>0</v>
      </c>
      <c r="H44" s="24"/>
      <c r="I44" s="25"/>
      <c r="J44" s="25"/>
      <c r="K44" s="24">
        <v>109.2</v>
      </c>
      <c r="L44" s="25">
        <v>109.2</v>
      </c>
      <c r="M44" s="176">
        <v>109.2</v>
      </c>
      <c r="N44" s="182">
        <v>124.8</v>
      </c>
      <c r="O44" s="184">
        <v>124.8</v>
      </c>
      <c r="P44" s="186">
        <v>124.8</v>
      </c>
      <c r="Q44" s="24">
        <v>0</v>
      </c>
      <c r="R44" s="25">
        <v>0</v>
      </c>
      <c r="S44" s="176">
        <v>0</v>
      </c>
      <c r="T44" s="133">
        <v>0</v>
      </c>
      <c r="U44" s="152">
        <v>0</v>
      </c>
      <c r="V44" s="172">
        <v>0</v>
      </c>
      <c r="W44" s="79">
        <f t="shared" si="9"/>
        <v>109.2</v>
      </c>
      <c r="X44" s="80">
        <f t="shared" si="10"/>
        <v>109.2</v>
      </c>
      <c r="Y44" s="91">
        <f t="shared" si="11"/>
        <v>109.2</v>
      </c>
    </row>
    <row r="45" spans="1:25" x14ac:dyDescent="0.25">
      <c r="A45" s="3" t="s">
        <v>90</v>
      </c>
      <c r="B45" s="24">
        <v>0</v>
      </c>
      <c r="C45" s="25">
        <v>0</v>
      </c>
      <c r="D45" s="25">
        <v>0</v>
      </c>
      <c r="E45" s="24">
        <v>140.4</v>
      </c>
      <c r="F45" s="25">
        <v>140.4</v>
      </c>
      <c r="G45" s="25">
        <v>140.4</v>
      </c>
      <c r="H45" s="24"/>
      <c r="I45" s="25"/>
      <c r="J45" s="25"/>
      <c r="K45" s="24">
        <v>93.6</v>
      </c>
      <c r="L45" s="25">
        <v>93.6</v>
      </c>
      <c r="M45" s="176">
        <v>93.6</v>
      </c>
      <c r="N45" s="133">
        <v>0</v>
      </c>
      <c r="O45" s="152">
        <v>0</v>
      </c>
      <c r="P45" s="172">
        <v>0</v>
      </c>
      <c r="Q45" s="24">
        <v>0</v>
      </c>
      <c r="R45" s="25">
        <v>0</v>
      </c>
      <c r="S45" s="176">
        <v>0</v>
      </c>
      <c r="T45" s="133">
        <v>0</v>
      </c>
      <c r="U45" s="152">
        <v>0</v>
      </c>
      <c r="V45" s="172">
        <v>0</v>
      </c>
      <c r="W45" s="79">
        <f t="shared" si="9"/>
        <v>234</v>
      </c>
      <c r="X45" s="80">
        <f t="shared" si="10"/>
        <v>234</v>
      </c>
      <c r="Y45" s="91">
        <f t="shared" si="11"/>
        <v>234</v>
      </c>
    </row>
    <row r="46" spans="1:25" x14ac:dyDescent="0.25">
      <c r="A46" s="3" t="s">
        <v>91</v>
      </c>
      <c r="B46" s="24">
        <v>0</v>
      </c>
      <c r="C46" s="25">
        <v>0</v>
      </c>
      <c r="D46" s="25">
        <v>0</v>
      </c>
      <c r="E46" s="24">
        <v>0</v>
      </c>
      <c r="F46" s="25">
        <v>0</v>
      </c>
      <c r="G46" s="25">
        <v>0</v>
      </c>
      <c r="H46" s="24"/>
      <c r="I46" s="25"/>
      <c r="J46" s="25"/>
      <c r="K46" s="24">
        <v>0</v>
      </c>
      <c r="L46" s="25">
        <v>0</v>
      </c>
      <c r="M46" s="176">
        <v>0</v>
      </c>
      <c r="N46" s="182">
        <v>156</v>
      </c>
      <c r="O46" s="184">
        <v>156</v>
      </c>
      <c r="P46" s="186">
        <v>156</v>
      </c>
      <c r="Q46" s="24">
        <v>0</v>
      </c>
      <c r="R46" s="25">
        <v>0</v>
      </c>
      <c r="S46" s="176">
        <v>0</v>
      </c>
      <c r="T46" s="133">
        <v>0</v>
      </c>
      <c r="U46" s="152">
        <v>0</v>
      </c>
      <c r="V46" s="172">
        <v>0</v>
      </c>
      <c r="W46" s="79">
        <f t="shared" ref="W46:W75" si="12">+B46+E46+K46+H46+Q46</f>
        <v>0</v>
      </c>
      <c r="X46" s="80">
        <f t="shared" ref="X46:X84" si="13">+C46+F46+L46+I46+R46</f>
        <v>0</v>
      </c>
      <c r="Y46" s="91">
        <f t="shared" ref="Y46:Y84" si="14">+D46+G46+M46+J46+S46</f>
        <v>0</v>
      </c>
    </row>
    <row r="47" spans="1:25" x14ac:dyDescent="0.25">
      <c r="A47" s="3" t="s">
        <v>92</v>
      </c>
      <c r="B47" s="24">
        <v>0</v>
      </c>
      <c r="C47" s="25">
        <v>0</v>
      </c>
      <c r="D47" s="25">
        <v>0</v>
      </c>
      <c r="E47" s="24">
        <v>0</v>
      </c>
      <c r="F47" s="25">
        <v>0</v>
      </c>
      <c r="G47" s="25">
        <v>0</v>
      </c>
      <c r="H47" s="24"/>
      <c r="I47" s="25"/>
      <c r="J47" s="25"/>
      <c r="K47" s="24">
        <v>140.4</v>
      </c>
      <c r="L47" s="25">
        <v>140.4</v>
      </c>
      <c r="M47" s="176">
        <v>140.4</v>
      </c>
      <c r="N47" s="133">
        <v>0</v>
      </c>
      <c r="O47" s="152">
        <v>0</v>
      </c>
      <c r="P47" s="172">
        <v>0</v>
      </c>
      <c r="Q47" s="24">
        <v>46.8</v>
      </c>
      <c r="R47" s="25">
        <v>46.8</v>
      </c>
      <c r="S47" s="176">
        <v>46.8</v>
      </c>
      <c r="T47" s="133">
        <v>0</v>
      </c>
      <c r="U47" s="152">
        <v>0</v>
      </c>
      <c r="V47" s="172">
        <v>0</v>
      </c>
      <c r="W47" s="79">
        <f t="shared" si="12"/>
        <v>187.2</v>
      </c>
      <c r="X47" s="80">
        <f t="shared" si="13"/>
        <v>187.2</v>
      </c>
      <c r="Y47" s="91">
        <f t="shared" si="14"/>
        <v>187.2</v>
      </c>
    </row>
    <row r="48" spans="1:25" x14ac:dyDescent="0.25">
      <c r="A48" s="3" t="s">
        <v>93</v>
      </c>
      <c r="B48" s="24">
        <v>187.2</v>
      </c>
      <c r="C48" s="25">
        <v>187.2</v>
      </c>
      <c r="D48" s="25">
        <v>187.2</v>
      </c>
      <c r="E48" s="24">
        <v>0</v>
      </c>
      <c r="F48" s="25">
        <v>0</v>
      </c>
      <c r="G48" s="25">
        <v>0</v>
      </c>
      <c r="H48" s="24"/>
      <c r="I48" s="25"/>
      <c r="J48" s="25"/>
      <c r="K48" s="24">
        <v>0</v>
      </c>
      <c r="L48" s="25">
        <v>0</v>
      </c>
      <c r="M48" s="176">
        <v>0</v>
      </c>
      <c r="N48" s="133">
        <v>0</v>
      </c>
      <c r="O48" s="152">
        <v>0</v>
      </c>
      <c r="P48" s="172">
        <v>0</v>
      </c>
      <c r="Q48" s="24">
        <v>0</v>
      </c>
      <c r="R48" s="25">
        <v>0</v>
      </c>
      <c r="S48" s="176">
        <v>0</v>
      </c>
      <c r="T48" s="24">
        <v>46.8</v>
      </c>
      <c r="U48" s="156">
        <v>46.8</v>
      </c>
      <c r="V48" s="177">
        <v>46.8</v>
      </c>
      <c r="W48" s="79">
        <f t="shared" si="12"/>
        <v>187.2</v>
      </c>
      <c r="X48" s="80">
        <f t="shared" si="13"/>
        <v>187.2</v>
      </c>
      <c r="Y48" s="91">
        <f t="shared" si="14"/>
        <v>187.2</v>
      </c>
    </row>
    <row r="49" spans="1:25" x14ac:dyDescent="0.25">
      <c r="A49" s="3" t="s">
        <v>94</v>
      </c>
      <c r="B49" s="24">
        <v>62.4</v>
      </c>
      <c r="C49" s="25">
        <v>62.4</v>
      </c>
      <c r="D49" s="25">
        <v>62.4</v>
      </c>
      <c r="E49" s="24">
        <v>31.2</v>
      </c>
      <c r="F49" s="25">
        <v>31.2</v>
      </c>
      <c r="G49" s="25">
        <v>31.2</v>
      </c>
      <c r="H49" s="24"/>
      <c r="I49" s="25"/>
      <c r="J49" s="25"/>
      <c r="K49" s="24">
        <v>15.6</v>
      </c>
      <c r="L49" s="25">
        <v>15.6</v>
      </c>
      <c r="M49" s="176">
        <v>15.6</v>
      </c>
      <c r="N49" s="133">
        <v>0</v>
      </c>
      <c r="O49" s="152">
        <v>0</v>
      </c>
      <c r="P49" s="172">
        <v>0</v>
      </c>
      <c r="Q49" s="24">
        <v>296.39999999999998</v>
      </c>
      <c r="R49" s="25">
        <v>296.39999999999998</v>
      </c>
      <c r="S49" s="176">
        <v>296.39999999999998</v>
      </c>
      <c r="T49" s="133">
        <v>0</v>
      </c>
      <c r="U49" s="152">
        <v>0</v>
      </c>
      <c r="V49" s="172">
        <v>0</v>
      </c>
      <c r="W49" s="79">
        <f t="shared" si="12"/>
        <v>405.59999999999997</v>
      </c>
      <c r="X49" s="80">
        <f t="shared" si="13"/>
        <v>405.59999999999997</v>
      </c>
      <c r="Y49" s="91">
        <f t="shared" si="14"/>
        <v>405.59999999999997</v>
      </c>
    </row>
    <row r="50" spans="1:25" x14ac:dyDescent="0.25">
      <c r="A50" s="3" t="s">
        <v>95</v>
      </c>
      <c r="B50" s="24">
        <v>0</v>
      </c>
      <c r="C50" s="25">
        <v>0</v>
      </c>
      <c r="D50" s="25">
        <v>0</v>
      </c>
      <c r="E50" s="24">
        <v>0</v>
      </c>
      <c r="F50" s="25">
        <v>0</v>
      </c>
      <c r="G50" s="25">
        <v>0</v>
      </c>
      <c r="H50" s="24"/>
      <c r="I50" s="25"/>
      <c r="J50" s="25"/>
      <c r="K50" s="24">
        <v>46.8</v>
      </c>
      <c r="L50" s="25">
        <v>46.8</v>
      </c>
      <c r="M50" s="176">
        <v>46.8</v>
      </c>
      <c r="N50" s="182">
        <v>156</v>
      </c>
      <c r="O50" s="184">
        <v>156</v>
      </c>
      <c r="P50" s="186">
        <v>156</v>
      </c>
      <c r="Q50" s="24">
        <v>0</v>
      </c>
      <c r="R50" s="25">
        <v>0</v>
      </c>
      <c r="S50" s="176">
        <v>0</v>
      </c>
      <c r="T50" s="133">
        <v>0</v>
      </c>
      <c r="U50" s="152">
        <v>0</v>
      </c>
      <c r="V50" s="172">
        <v>0</v>
      </c>
      <c r="W50" s="79">
        <f t="shared" si="12"/>
        <v>46.8</v>
      </c>
      <c r="X50" s="80">
        <f t="shared" si="13"/>
        <v>46.8</v>
      </c>
      <c r="Y50" s="91">
        <f t="shared" si="14"/>
        <v>46.8</v>
      </c>
    </row>
    <row r="51" spans="1:25" x14ac:dyDescent="0.25">
      <c r="A51" s="3" t="s">
        <v>96</v>
      </c>
      <c r="B51" s="24">
        <v>0</v>
      </c>
      <c r="C51" s="25">
        <v>0</v>
      </c>
      <c r="D51" s="25">
        <v>0</v>
      </c>
      <c r="E51" s="24">
        <v>109.2</v>
      </c>
      <c r="F51" s="25">
        <v>109.2</v>
      </c>
      <c r="G51" s="25">
        <v>109.2</v>
      </c>
      <c r="H51" s="133"/>
      <c r="I51" s="23"/>
      <c r="J51" s="23"/>
      <c r="K51" s="24">
        <v>0</v>
      </c>
      <c r="L51" s="25">
        <v>0</v>
      </c>
      <c r="M51" s="176">
        <v>0</v>
      </c>
      <c r="N51" s="133">
        <v>0</v>
      </c>
      <c r="O51" s="152">
        <v>0</v>
      </c>
      <c r="P51" s="172">
        <v>0</v>
      </c>
      <c r="Q51" s="24">
        <v>202.8</v>
      </c>
      <c r="R51" s="25">
        <v>202.8</v>
      </c>
      <c r="S51" s="176">
        <v>202.8</v>
      </c>
      <c r="T51" s="133">
        <v>0</v>
      </c>
      <c r="U51" s="152">
        <v>0</v>
      </c>
      <c r="V51" s="172">
        <v>0</v>
      </c>
      <c r="W51" s="79">
        <f t="shared" si="12"/>
        <v>312</v>
      </c>
      <c r="X51" s="80">
        <f t="shared" si="13"/>
        <v>312</v>
      </c>
      <c r="Y51" s="91">
        <f t="shared" si="14"/>
        <v>312</v>
      </c>
    </row>
    <row r="52" spans="1:25" x14ac:dyDescent="0.25">
      <c r="A52" s="3" t="s">
        <v>97</v>
      </c>
      <c r="B52" s="24">
        <v>0</v>
      </c>
      <c r="C52" s="25">
        <v>0</v>
      </c>
      <c r="D52" s="25">
        <v>0</v>
      </c>
      <c r="E52" s="24">
        <v>0</v>
      </c>
      <c r="F52" s="25">
        <v>0</v>
      </c>
      <c r="G52" s="25">
        <v>0</v>
      </c>
      <c r="H52" s="133"/>
      <c r="I52" s="23"/>
      <c r="J52" s="23"/>
      <c r="K52" s="24">
        <v>124.8</v>
      </c>
      <c r="L52" s="25">
        <v>124.8</v>
      </c>
      <c r="M52" s="176">
        <v>124.8</v>
      </c>
      <c r="N52" s="133">
        <v>0</v>
      </c>
      <c r="O52" s="152">
        <v>0</v>
      </c>
      <c r="P52" s="172">
        <v>0</v>
      </c>
      <c r="Q52" s="24">
        <v>0</v>
      </c>
      <c r="R52" s="25">
        <v>0</v>
      </c>
      <c r="S52" s="176">
        <v>0</v>
      </c>
      <c r="T52" s="133">
        <v>0</v>
      </c>
      <c r="U52" s="152">
        <v>0</v>
      </c>
      <c r="V52" s="172">
        <v>0</v>
      </c>
      <c r="W52" s="79">
        <f t="shared" si="12"/>
        <v>124.8</v>
      </c>
      <c r="X52" s="80">
        <f t="shared" si="13"/>
        <v>124.8</v>
      </c>
      <c r="Y52" s="91">
        <f t="shared" si="14"/>
        <v>124.8</v>
      </c>
    </row>
    <row r="53" spans="1:25" x14ac:dyDescent="0.25">
      <c r="A53" s="3" t="s">
        <v>98</v>
      </c>
      <c r="B53" s="133">
        <v>0</v>
      </c>
      <c r="C53" s="23">
        <v>0</v>
      </c>
      <c r="D53" s="23">
        <v>0</v>
      </c>
      <c r="E53" s="24">
        <v>0</v>
      </c>
      <c r="F53" s="25">
        <v>0</v>
      </c>
      <c r="G53" s="25">
        <v>0</v>
      </c>
      <c r="H53" s="133"/>
      <c r="I53" s="23"/>
      <c r="J53" s="23"/>
      <c r="K53" s="24">
        <v>0</v>
      </c>
      <c r="L53" s="25">
        <v>0</v>
      </c>
      <c r="M53" s="176">
        <v>0</v>
      </c>
      <c r="N53" s="182">
        <v>171.6</v>
      </c>
      <c r="O53" s="184">
        <v>171.6</v>
      </c>
      <c r="P53" s="186">
        <v>171.6</v>
      </c>
      <c r="Q53" s="24">
        <v>0</v>
      </c>
      <c r="R53" s="25">
        <v>0</v>
      </c>
      <c r="S53" s="176">
        <v>0</v>
      </c>
      <c r="T53" s="133">
        <v>0</v>
      </c>
      <c r="U53" s="152">
        <v>0</v>
      </c>
      <c r="V53" s="172">
        <v>0</v>
      </c>
      <c r="W53" s="79">
        <f t="shared" si="12"/>
        <v>0</v>
      </c>
      <c r="X53" s="80">
        <f t="shared" si="13"/>
        <v>0</v>
      </c>
      <c r="Y53" s="91">
        <f t="shared" si="14"/>
        <v>0</v>
      </c>
    </row>
    <row r="54" spans="1:25" x14ac:dyDescent="0.25">
      <c r="A54" s="3" t="s">
        <v>99</v>
      </c>
      <c r="B54" s="24">
        <v>202.79999999999998</v>
      </c>
      <c r="C54" s="25">
        <v>187.2</v>
      </c>
      <c r="D54" s="25">
        <v>187.2</v>
      </c>
      <c r="E54" s="24"/>
      <c r="F54" s="25"/>
      <c r="G54" s="25"/>
      <c r="H54" s="133"/>
      <c r="I54" s="23"/>
      <c r="J54" s="23"/>
      <c r="K54" s="24">
        <v>0</v>
      </c>
      <c r="L54" s="25">
        <v>0</v>
      </c>
      <c r="M54" s="176">
        <v>0</v>
      </c>
      <c r="N54" s="24">
        <v>0</v>
      </c>
      <c r="O54" s="156">
        <v>0</v>
      </c>
      <c r="P54" s="177">
        <v>0</v>
      </c>
      <c r="Q54" s="133"/>
      <c r="R54" s="23"/>
      <c r="S54" s="163"/>
      <c r="T54" s="133">
        <v>0</v>
      </c>
      <c r="U54" s="152">
        <v>0</v>
      </c>
      <c r="V54" s="172">
        <v>0</v>
      </c>
      <c r="W54" s="79">
        <f t="shared" si="12"/>
        <v>202.79999999999998</v>
      </c>
      <c r="X54" s="80">
        <f t="shared" si="13"/>
        <v>187.2</v>
      </c>
      <c r="Y54" s="91">
        <f t="shared" si="14"/>
        <v>187.2</v>
      </c>
    </row>
    <row r="55" spans="1:25" x14ac:dyDescent="0.25">
      <c r="A55" s="3" t="s">
        <v>100</v>
      </c>
      <c r="B55" s="24">
        <v>0</v>
      </c>
      <c r="C55" s="25">
        <v>0</v>
      </c>
      <c r="D55" s="25">
        <v>0</v>
      </c>
      <c r="E55" s="24"/>
      <c r="F55" s="25"/>
      <c r="G55" s="25"/>
      <c r="H55" s="133"/>
      <c r="I55" s="23"/>
      <c r="J55" s="23"/>
      <c r="K55" s="24">
        <v>46.8</v>
      </c>
      <c r="L55" s="25">
        <v>46.8</v>
      </c>
      <c r="M55" s="176">
        <v>46.8</v>
      </c>
      <c r="N55" s="183">
        <v>187.2</v>
      </c>
      <c r="O55" s="185">
        <v>187.2</v>
      </c>
      <c r="P55" s="187">
        <v>187.2</v>
      </c>
      <c r="Q55" s="133"/>
      <c r="R55" s="23"/>
      <c r="S55" s="163"/>
      <c r="T55" s="133">
        <v>0</v>
      </c>
      <c r="U55" s="152">
        <v>0</v>
      </c>
      <c r="V55" s="172">
        <v>0</v>
      </c>
      <c r="W55" s="79">
        <f t="shared" si="12"/>
        <v>46.8</v>
      </c>
      <c r="X55" s="80">
        <f t="shared" si="13"/>
        <v>46.8</v>
      </c>
      <c r="Y55" s="91">
        <f t="shared" si="14"/>
        <v>46.8</v>
      </c>
    </row>
    <row r="56" spans="1:25" x14ac:dyDescent="0.25">
      <c r="A56" s="3" t="s">
        <v>101</v>
      </c>
      <c r="B56" s="24">
        <v>0</v>
      </c>
      <c r="C56" s="25">
        <v>0</v>
      </c>
      <c r="D56" s="25">
        <v>0</v>
      </c>
      <c r="E56" s="24"/>
      <c r="F56" s="25"/>
      <c r="G56" s="25"/>
      <c r="H56" s="133"/>
      <c r="I56" s="23"/>
      <c r="J56" s="23"/>
      <c r="K56" s="24">
        <v>62.4</v>
      </c>
      <c r="L56" s="25">
        <v>62.4</v>
      </c>
      <c r="M56" s="176">
        <v>62.4</v>
      </c>
      <c r="N56" s="24">
        <v>0</v>
      </c>
      <c r="O56" s="156">
        <v>0</v>
      </c>
      <c r="P56" s="177">
        <v>0</v>
      </c>
      <c r="Q56" s="133"/>
      <c r="R56" s="23"/>
      <c r="S56" s="163"/>
      <c r="T56" s="133">
        <v>0</v>
      </c>
      <c r="U56" s="152">
        <v>0</v>
      </c>
      <c r="V56" s="172">
        <v>0</v>
      </c>
      <c r="W56" s="79">
        <f t="shared" si="12"/>
        <v>62.4</v>
      </c>
      <c r="X56" s="80">
        <f t="shared" si="13"/>
        <v>62.4</v>
      </c>
      <c r="Y56" s="91">
        <f t="shared" si="14"/>
        <v>62.4</v>
      </c>
    </row>
    <row r="57" spans="1:25" x14ac:dyDescent="0.25">
      <c r="A57" s="3" t="s">
        <v>102</v>
      </c>
      <c r="B57" s="24">
        <v>62.4</v>
      </c>
      <c r="C57" s="25">
        <v>78</v>
      </c>
      <c r="D57" s="25">
        <v>78</v>
      </c>
      <c r="E57" s="24"/>
      <c r="F57" s="25"/>
      <c r="G57" s="25"/>
      <c r="H57" s="133"/>
      <c r="I57" s="23"/>
      <c r="J57" s="23"/>
      <c r="K57" s="24">
        <v>280.8</v>
      </c>
      <c r="L57" s="25">
        <v>280.8</v>
      </c>
      <c r="M57" s="176">
        <v>280.8</v>
      </c>
      <c r="N57" s="133">
        <v>0</v>
      </c>
      <c r="O57" s="152">
        <v>0</v>
      </c>
      <c r="P57" s="172">
        <v>0</v>
      </c>
      <c r="Q57" s="133"/>
      <c r="R57" s="23"/>
      <c r="S57" s="163"/>
      <c r="T57" s="133">
        <v>0</v>
      </c>
      <c r="U57" s="152">
        <v>0</v>
      </c>
      <c r="V57" s="172">
        <v>0</v>
      </c>
      <c r="W57" s="79">
        <f t="shared" si="12"/>
        <v>343.2</v>
      </c>
      <c r="X57" s="80">
        <f t="shared" si="13"/>
        <v>358.8</v>
      </c>
      <c r="Y57" s="91">
        <f t="shared" si="14"/>
        <v>358.8</v>
      </c>
    </row>
    <row r="58" spans="1:25" x14ac:dyDescent="0.25">
      <c r="A58" s="3" t="s">
        <v>103</v>
      </c>
      <c r="B58" s="133">
        <v>0</v>
      </c>
      <c r="C58" s="23">
        <v>0</v>
      </c>
      <c r="D58" s="23">
        <v>0</v>
      </c>
      <c r="E58" s="24"/>
      <c r="F58" s="25"/>
      <c r="G58" s="25"/>
      <c r="H58" s="133"/>
      <c r="I58" s="23"/>
      <c r="J58" s="23"/>
      <c r="K58" s="24">
        <v>156</v>
      </c>
      <c r="L58" s="25">
        <v>156</v>
      </c>
      <c r="M58" s="176">
        <v>156</v>
      </c>
      <c r="N58" s="183">
        <v>280.8</v>
      </c>
      <c r="O58" s="185">
        <v>280.8</v>
      </c>
      <c r="P58" s="187">
        <v>280.8</v>
      </c>
      <c r="Q58" s="133"/>
      <c r="R58" s="23"/>
      <c r="S58" s="163"/>
      <c r="T58" s="133">
        <v>0</v>
      </c>
      <c r="U58" s="152">
        <v>0</v>
      </c>
      <c r="V58" s="172">
        <v>0</v>
      </c>
      <c r="W58" s="79">
        <f t="shared" si="12"/>
        <v>156</v>
      </c>
      <c r="X58" s="80">
        <f t="shared" si="13"/>
        <v>156</v>
      </c>
      <c r="Y58" s="91">
        <f t="shared" si="14"/>
        <v>156</v>
      </c>
    </row>
    <row r="59" spans="1:25" x14ac:dyDescent="0.25">
      <c r="A59" s="3" t="s">
        <v>104</v>
      </c>
      <c r="B59" s="133">
        <v>0</v>
      </c>
      <c r="C59" s="23">
        <v>0</v>
      </c>
      <c r="D59" s="23">
        <v>0</v>
      </c>
      <c r="E59" s="24"/>
      <c r="F59" s="25"/>
      <c r="G59" s="25"/>
      <c r="H59" s="133"/>
      <c r="I59" s="23"/>
      <c r="J59" s="23"/>
      <c r="K59" s="24">
        <v>156</v>
      </c>
      <c r="L59" s="25">
        <v>156</v>
      </c>
      <c r="M59" s="176">
        <v>156</v>
      </c>
      <c r="N59" s="24">
        <v>0</v>
      </c>
      <c r="O59" s="156">
        <v>0</v>
      </c>
      <c r="P59" s="177">
        <v>0</v>
      </c>
      <c r="Q59" s="133"/>
      <c r="R59" s="23"/>
      <c r="S59" s="163"/>
      <c r="T59" s="133">
        <v>0</v>
      </c>
      <c r="U59" s="152">
        <v>0</v>
      </c>
      <c r="V59" s="172">
        <v>0</v>
      </c>
      <c r="W59" s="79">
        <f t="shared" si="12"/>
        <v>156</v>
      </c>
      <c r="X59" s="80">
        <f t="shared" si="13"/>
        <v>156</v>
      </c>
      <c r="Y59" s="91">
        <f t="shared" si="14"/>
        <v>156</v>
      </c>
    </row>
    <row r="60" spans="1:25" x14ac:dyDescent="0.25">
      <c r="A60" s="3" t="s">
        <v>105</v>
      </c>
      <c r="B60" s="133">
        <v>0</v>
      </c>
      <c r="C60" s="23">
        <v>0</v>
      </c>
      <c r="D60" s="23">
        <v>0</v>
      </c>
      <c r="E60" s="133"/>
      <c r="F60" s="23"/>
      <c r="G60" s="23"/>
      <c r="H60" s="133"/>
      <c r="I60" s="23"/>
      <c r="J60" s="23"/>
      <c r="K60" s="24">
        <v>0</v>
      </c>
      <c r="L60" s="25">
        <v>0</v>
      </c>
      <c r="M60" s="176">
        <v>0</v>
      </c>
      <c r="N60" s="183">
        <v>312</v>
      </c>
      <c r="O60" s="185">
        <v>312</v>
      </c>
      <c r="P60" s="187">
        <v>312</v>
      </c>
      <c r="Q60" s="133"/>
      <c r="R60" s="23"/>
      <c r="S60" s="163"/>
      <c r="T60" s="133">
        <v>0</v>
      </c>
      <c r="U60" s="152">
        <v>0</v>
      </c>
      <c r="V60" s="172">
        <v>0</v>
      </c>
      <c r="W60" s="79">
        <f t="shared" si="12"/>
        <v>0</v>
      </c>
      <c r="X60" s="80">
        <f t="shared" si="13"/>
        <v>0</v>
      </c>
      <c r="Y60" s="91">
        <f t="shared" si="14"/>
        <v>0</v>
      </c>
    </row>
    <row r="61" spans="1:25" x14ac:dyDescent="0.25">
      <c r="A61" s="3" t="s">
        <v>106</v>
      </c>
      <c r="B61" s="133">
        <v>0</v>
      </c>
      <c r="C61" s="23">
        <v>0</v>
      </c>
      <c r="D61" s="23">
        <v>0</v>
      </c>
      <c r="E61" s="133"/>
      <c r="F61" s="23"/>
      <c r="G61" s="23"/>
      <c r="H61" s="133"/>
      <c r="I61" s="23"/>
      <c r="J61" s="23"/>
      <c r="K61" s="24">
        <v>31.2</v>
      </c>
      <c r="L61" s="25">
        <v>31.2</v>
      </c>
      <c r="M61" s="176">
        <v>31.2</v>
      </c>
      <c r="N61" s="183">
        <v>312</v>
      </c>
      <c r="O61" s="185">
        <v>312</v>
      </c>
      <c r="P61" s="187">
        <v>312</v>
      </c>
      <c r="Q61" s="133"/>
      <c r="R61" s="23"/>
      <c r="S61" s="163"/>
      <c r="T61" s="133">
        <v>0</v>
      </c>
      <c r="U61" s="152">
        <v>0</v>
      </c>
      <c r="V61" s="172">
        <v>0</v>
      </c>
      <c r="W61" s="79">
        <f t="shared" si="12"/>
        <v>31.2</v>
      </c>
      <c r="X61" s="80">
        <f t="shared" si="13"/>
        <v>31.2</v>
      </c>
      <c r="Y61" s="91">
        <f t="shared" si="14"/>
        <v>31.2</v>
      </c>
    </row>
    <row r="62" spans="1:25" x14ac:dyDescent="0.25">
      <c r="A62" s="3" t="s">
        <v>107</v>
      </c>
      <c r="B62" s="133">
        <v>0</v>
      </c>
      <c r="C62" s="23">
        <v>0</v>
      </c>
      <c r="D62" s="23">
        <v>0</v>
      </c>
      <c r="E62" s="133"/>
      <c r="F62" s="23"/>
      <c r="G62" s="23"/>
      <c r="H62" s="133"/>
      <c r="I62" s="23"/>
      <c r="J62" s="23"/>
      <c r="K62" s="133">
        <v>0</v>
      </c>
      <c r="L62" s="23">
        <v>0</v>
      </c>
      <c r="M62" s="163">
        <v>0</v>
      </c>
      <c r="N62" s="183">
        <v>343.2</v>
      </c>
      <c r="O62" s="185">
        <v>343.2</v>
      </c>
      <c r="P62" s="187">
        <v>343.2</v>
      </c>
      <c r="Q62" s="133"/>
      <c r="R62" s="23"/>
      <c r="S62" s="163"/>
      <c r="T62" s="133">
        <v>0</v>
      </c>
      <c r="U62" s="152">
        <v>0</v>
      </c>
      <c r="V62" s="172">
        <v>0</v>
      </c>
      <c r="W62" s="79">
        <f t="shared" si="12"/>
        <v>0</v>
      </c>
      <c r="X62" s="80">
        <f t="shared" si="13"/>
        <v>0</v>
      </c>
      <c r="Y62" s="91">
        <f t="shared" si="14"/>
        <v>0</v>
      </c>
    </row>
    <row r="63" spans="1:25" x14ac:dyDescent="0.25">
      <c r="A63" s="3" t="s">
        <v>108</v>
      </c>
      <c r="B63" s="133">
        <v>0</v>
      </c>
      <c r="C63" s="23">
        <v>0</v>
      </c>
      <c r="D63" s="23">
        <v>0</v>
      </c>
      <c r="E63" s="133"/>
      <c r="F63" s="23"/>
      <c r="G63" s="23"/>
      <c r="H63" s="133"/>
      <c r="I63" s="23"/>
      <c r="J63" s="23"/>
      <c r="K63" s="133">
        <v>0</v>
      </c>
      <c r="L63" s="23">
        <v>0</v>
      </c>
      <c r="M63" s="163">
        <v>0</v>
      </c>
      <c r="N63" s="24">
        <v>0</v>
      </c>
      <c r="O63" s="156">
        <v>0</v>
      </c>
      <c r="P63" s="177">
        <v>0</v>
      </c>
      <c r="Q63" s="133"/>
      <c r="R63" s="23"/>
      <c r="S63" s="163"/>
      <c r="T63" s="133">
        <v>0</v>
      </c>
      <c r="U63" s="152">
        <v>0</v>
      </c>
      <c r="V63" s="172">
        <v>0</v>
      </c>
      <c r="W63" s="79">
        <f t="shared" si="12"/>
        <v>0</v>
      </c>
      <c r="X63" s="80">
        <f t="shared" si="13"/>
        <v>0</v>
      </c>
      <c r="Y63" s="91">
        <f t="shared" si="14"/>
        <v>0</v>
      </c>
    </row>
    <row r="64" spans="1:25" x14ac:dyDescent="0.25">
      <c r="A64" s="3" t="s">
        <v>109</v>
      </c>
      <c r="B64" s="133">
        <v>0</v>
      </c>
      <c r="C64" s="23">
        <v>0</v>
      </c>
      <c r="D64" s="23">
        <v>0</v>
      </c>
      <c r="E64" s="133"/>
      <c r="F64" s="23"/>
      <c r="G64" s="23"/>
      <c r="H64" s="133"/>
      <c r="I64" s="23"/>
      <c r="J64" s="23"/>
      <c r="K64" s="133">
        <v>0</v>
      </c>
      <c r="L64" s="23">
        <v>0</v>
      </c>
      <c r="M64" s="163">
        <v>0</v>
      </c>
      <c r="N64" s="24">
        <v>0</v>
      </c>
      <c r="O64" s="156">
        <v>0</v>
      </c>
      <c r="P64" s="177">
        <v>0</v>
      </c>
      <c r="Q64" s="133"/>
      <c r="R64" s="23"/>
      <c r="S64" s="163"/>
      <c r="T64" s="133">
        <v>0</v>
      </c>
      <c r="U64" s="152">
        <v>0</v>
      </c>
      <c r="V64" s="172">
        <v>0</v>
      </c>
      <c r="W64" s="79">
        <f t="shared" si="12"/>
        <v>0</v>
      </c>
      <c r="X64" s="80">
        <f t="shared" si="13"/>
        <v>0</v>
      </c>
      <c r="Y64" s="91">
        <f t="shared" si="14"/>
        <v>0</v>
      </c>
    </row>
    <row r="65" spans="1:25" x14ac:dyDescent="0.25">
      <c r="A65" s="3" t="s">
        <v>110</v>
      </c>
      <c r="B65" s="133">
        <v>0</v>
      </c>
      <c r="C65" s="23">
        <v>0</v>
      </c>
      <c r="D65" s="23">
        <v>0</v>
      </c>
      <c r="E65" s="133"/>
      <c r="F65" s="23"/>
      <c r="G65" s="23"/>
      <c r="H65" s="133"/>
      <c r="I65" s="23"/>
      <c r="J65" s="23"/>
      <c r="K65" s="133">
        <v>0</v>
      </c>
      <c r="L65" s="23">
        <v>0</v>
      </c>
      <c r="M65" s="163">
        <v>0</v>
      </c>
      <c r="N65" s="24">
        <v>0</v>
      </c>
      <c r="O65" s="156">
        <v>0</v>
      </c>
      <c r="P65" s="177">
        <v>0</v>
      </c>
      <c r="Q65" s="133"/>
      <c r="R65" s="23"/>
      <c r="S65" s="163"/>
      <c r="T65" s="133">
        <v>0</v>
      </c>
      <c r="U65" s="152">
        <v>0</v>
      </c>
      <c r="V65" s="172">
        <v>0</v>
      </c>
      <c r="W65" s="79">
        <f t="shared" si="12"/>
        <v>0</v>
      </c>
      <c r="X65" s="80">
        <f t="shared" si="13"/>
        <v>0</v>
      </c>
      <c r="Y65" s="91">
        <f t="shared" si="14"/>
        <v>0</v>
      </c>
    </row>
    <row r="66" spans="1:25" x14ac:dyDescent="0.25">
      <c r="A66" s="3" t="s">
        <v>111</v>
      </c>
      <c r="B66" s="133">
        <v>0</v>
      </c>
      <c r="C66" s="23">
        <v>0</v>
      </c>
      <c r="D66" s="23">
        <v>0</v>
      </c>
      <c r="E66" s="133"/>
      <c r="F66" s="23"/>
      <c r="G66" s="23"/>
      <c r="H66" s="133"/>
      <c r="I66" s="23"/>
      <c r="J66" s="23"/>
      <c r="K66" s="133">
        <v>0</v>
      </c>
      <c r="L66" s="23">
        <v>0</v>
      </c>
      <c r="M66" s="163">
        <v>0</v>
      </c>
      <c r="N66" s="24">
        <v>0</v>
      </c>
      <c r="O66" s="156">
        <v>0</v>
      </c>
      <c r="P66" s="177">
        <v>0</v>
      </c>
      <c r="Q66" s="133"/>
      <c r="R66" s="23"/>
      <c r="S66" s="163"/>
      <c r="T66" s="133">
        <v>0</v>
      </c>
      <c r="U66" s="152">
        <v>0</v>
      </c>
      <c r="V66" s="172">
        <v>0</v>
      </c>
      <c r="W66" s="79">
        <f t="shared" si="12"/>
        <v>0</v>
      </c>
      <c r="X66" s="80">
        <f t="shared" si="13"/>
        <v>0</v>
      </c>
      <c r="Y66" s="91">
        <f t="shared" si="14"/>
        <v>0</v>
      </c>
    </row>
    <row r="67" spans="1:25" x14ac:dyDescent="0.25">
      <c r="A67" s="3" t="s">
        <v>112</v>
      </c>
      <c r="B67" s="133">
        <v>0</v>
      </c>
      <c r="C67" s="23">
        <v>0</v>
      </c>
      <c r="D67" s="23">
        <v>0</v>
      </c>
      <c r="E67" s="133"/>
      <c r="F67" s="23"/>
      <c r="G67" s="23"/>
      <c r="H67" s="133"/>
      <c r="I67" s="23"/>
      <c r="J67" s="23"/>
      <c r="K67" s="133">
        <v>0</v>
      </c>
      <c r="L67" s="23">
        <v>0</v>
      </c>
      <c r="M67" s="163">
        <v>0</v>
      </c>
      <c r="N67" s="24">
        <v>0</v>
      </c>
      <c r="O67" s="156">
        <v>0</v>
      </c>
      <c r="P67" s="177">
        <v>0</v>
      </c>
      <c r="Q67" s="133"/>
      <c r="R67" s="23"/>
      <c r="S67" s="163"/>
      <c r="T67" s="133">
        <v>0</v>
      </c>
      <c r="U67" s="152">
        <v>0</v>
      </c>
      <c r="V67" s="172">
        <v>0</v>
      </c>
      <c r="W67" s="79">
        <f t="shared" si="12"/>
        <v>0</v>
      </c>
      <c r="X67" s="80">
        <f t="shared" si="13"/>
        <v>0</v>
      </c>
      <c r="Y67" s="91">
        <f t="shared" si="14"/>
        <v>0</v>
      </c>
    </row>
    <row r="68" spans="1:25" x14ac:dyDescent="0.25">
      <c r="A68" s="3" t="s">
        <v>113</v>
      </c>
      <c r="B68" s="133">
        <v>0</v>
      </c>
      <c r="C68" s="23">
        <v>0</v>
      </c>
      <c r="D68" s="23">
        <v>0</v>
      </c>
      <c r="E68" s="133"/>
      <c r="F68" s="23"/>
      <c r="G68" s="23"/>
      <c r="H68" s="133"/>
      <c r="I68" s="23"/>
      <c r="J68" s="23"/>
      <c r="K68" s="133">
        <v>0</v>
      </c>
      <c r="L68" s="23">
        <v>0</v>
      </c>
      <c r="M68" s="163">
        <v>0</v>
      </c>
      <c r="N68" s="24">
        <v>0</v>
      </c>
      <c r="O68" s="156">
        <v>0</v>
      </c>
      <c r="P68" s="177">
        <v>0</v>
      </c>
      <c r="Q68" s="133"/>
      <c r="R68" s="23"/>
      <c r="S68" s="163"/>
      <c r="T68" s="133">
        <v>0</v>
      </c>
      <c r="U68" s="152">
        <v>0</v>
      </c>
      <c r="V68" s="172">
        <v>0</v>
      </c>
      <c r="W68" s="79">
        <f t="shared" si="12"/>
        <v>0</v>
      </c>
      <c r="X68" s="80">
        <f t="shared" si="13"/>
        <v>0</v>
      </c>
      <c r="Y68" s="91">
        <f t="shared" si="14"/>
        <v>0</v>
      </c>
    </row>
    <row r="69" spans="1:25" x14ac:dyDescent="0.25">
      <c r="A69" s="3" t="s">
        <v>114</v>
      </c>
      <c r="B69" s="133">
        <v>0</v>
      </c>
      <c r="C69" s="23">
        <v>0</v>
      </c>
      <c r="D69" s="23">
        <v>0</v>
      </c>
      <c r="E69" s="133"/>
      <c r="F69" s="23"/>
      <c r="G69" s="23"/>
      <c r="H69" s="133"/>
      <c r="I69" s="23"/>
      <c r="J69" s="23"/>
      <c r="K69" s="133">
        <v>0</v>
      </c>
      <c r="L69" s="23">
        <v>0</v>
      </c>
      <c r="M69" s="163">
        <v>0</v>
      </c>
      <c r="N69" s="24">
        <v>0</v>
      </c>
      <c r="O69" s="156">
        <v>0</v>
      </c>
      <c r="P69" s="177">
        <v>0</v>
      </c>
      <c r="Q69" s="133"/>
      <c r="R69" s="23"/>
      <c r="S69" s="163"/>
      <c r="T69" s="133">
        <v>0</v>
      </c>
      <c r="U69" s="152">
        <v>0</v>
      </c>
      <c r="V69" s="172">
        <v>0</v>
      </c>
      <c r="W69" s="79">
        <f t="shared" si="12"/>
        <v>0</v>
      </c>
      <c r="X69" s="80">
        <f t="shared" si="13"/>
        <v>0</v>
      </c>
      <c r="Y69" s="91">
        <f t="shared" si="14"/>
        <v>0</v>
      </c>
    </row>
    <row r="70" spans="1:25" x14ac:dyDescent="0.25">
      <c r="A70" s="3" t="s">
        <v>115</v>
      </c>
      <c r="B70" s="133">
        <v>0</v>
      </c>
      <c r="C70" s="23">
        <v>0</v>
      </c>
      <c r="D70" s="23">
        <v>0</v>
      </c>
      <c r="E70" s="133"/>
      <c r="F70" s="23"/>
      <c r="G70" s="23"/>
      <c r="H70" s="133"/>
      <c r="I70" s="23"/>
      <c r="J70" s="23"/>
      <c r="K70" s="133">
        <v>0</v>
      </c>
      <c r="L70" s="23">
        <v>0</v>
      </c>
      <c r="M70" s="163">
        <v>0</v>
      </c>
      <c r="N70" s="24">
        <v>0</v>
      </c>
      <c r="O70" s="156">
        <v>0</v>
      </c>
      <c r="P70" s="177">
        <v>0</v>
      </c>
      <c r="Q70" s="133"/>
      <c r="R70" s="23"/>
      <c r="S70" s="163"/>
      <c r="T70" s="133">
        <v>0</v>
      </c>
      <c r="U70" s="152">
        <v>0</v>
      </c>
      <c r="V70" s="172">
        <v>0</v>
      </c>
      <c r="W70" s="79">
        <f t="shared" si="12"/>
        <v>0</v>
      </c>
      <c r="X70" s="80">
        <f t="shared" si="13"/>
        <v>0</v>
      </c>
      <c r="Y70" s="91">
        <f t="shared" si="14"/>
        <v>0</v>
      </c>
    </row>
    <row r="71" spans="1:25" x14ac:dyDescent="0.25">
      <c r="A71" s="3" t="s">
        <v>116</v>
      </c>
      <c r="B71" s="133">
        <v>0</v>
      </c>
      <c r="C71" s="23">
        <v>0</v>
      </c>
      <c r="D71" s="23">
        <v>0</v>
      </c>
      <c r="E71" s="133"/>
      <c r="F71" s="23"/>
      <c r="G71" s="23"/>
      <c r="H71" s="133"/>
      <c r="I71" s="23"/>
      <c r="J71" s="23"/>
      <c r="K71" s="133">
        <v>0</v>
      </c>
      <c r="L71" s="23">
        <v>0</v>
      </c>
      <c r="M71" s="163">
        <v>0</v>
      </c>
      <c r="N71" s="24">
        <v>0</v>
      </c>
      <c r="O71" s="156">
        <v>0</v>
      </c>
      <c r="P71" s="177">
        <v>0</v>
      </c>
      <c r="Q71" s="133"/>
      <c r="R71" s="23"/>
      <c r="S71" s="163"/>
      <c r="T71" s="133">
        <v>0</v>
      </c>
      <c r="U71" s="152">
        <v>0</v>
      </c>
      <c r="V71" s="172">
        <v>0</v>
      </c>
      <c r="W71" s="79">
        <f t="shared" si="12"/>
        <v>0</v>
      </c>
      <c r="X71" s="80">
        <f t="shared" si="13"/>
        <v>0</v>
      </c>
      <c r="Y71" s="91">
        <f t="shared" si="14"/>
        <v>0</v>
      </c>
    </row>
    <row r="72" spans="1:25" x14ac:dyDescent="0.25">
      <c r="A72" s="3" t="s">
        <v>117</v>
      </c>
      <c r="B72" s="133">
        <v>0</v>
      </c>
      <c r="C72" s="23">
        <v>0</v>
      </c>
      <c r="D72" s="23">
        <v>0</v>
      </c>
      <c r="E72" s="133"/>
      <c r="F72" s="23"/>
      <c r="G72" s="23"/>
      <c r="H72" s="133"/>
      <c r="I72" s="23"/>
      <c r="J72" s="23"/>
      <c r="K72" s="133">
        <v>0</v>
      </c>
      <c r="L72" s="23">
        <v>0</v>
      </c>
      <c r="M72" s="163">
        <v>0</v>
      </c>
      <c r="N72" s="24">
        <v>0</v>
      </c>
      <c r="O72" s="156">
        <v>0</v>
      </c>
      <c r="P72" s="177">
        <v>0</v>
      </c>
      <c r="Q72" s="133"/>
      <c r="R72" s="23"/>
      <c r="S72" s="163"/>
      <c r="T72" s="133">
        <v>0</v>
      </c>
      <c r="U72" s="152">
        <v>0</v>
      </c>
      <c r="V72" s="172">
        <v>0</v>
      </c>
      <c r="W72" s="79">
        <f t="shared" si="12"/>
        <v>0</v>
      </c>
      <c r="X72" s="80">
        <f t="shared" si="13"/>
        <v>0</v>
      </c>
      <c r="Y72" s="91">
        <f t="shared" si="14"/>
        <v>0</v>
      </c>
    </row>
    <row r="73" spans="1:25" x14ac:dyDescent="0.25">
      <c r="A73" s="3" t="s">
        <v>118</v>
      </c>
      <c r="B73" s="133">
        <v>0</v>
      </c>
      <c r="C73" s="23">
        <v>0</v>
      </c>
      <c r="D73" s="23">
        <v>0</v>
      </c>
      <c r="E73" s="133"/>
      <c r="F73" s="23"/>
      <c r="G73" s="23"/>
      <c r="H73" s="133"/>
      <c r="I73" s="23"/>
      <c r="J73" s="23"/>
      <c r="K73" s="133">
        <v>0</v>
      </c>
      <c r="L73" s="23">
        <v>0</v>
      </c>
      <c r="M73" s="163">
        <v>0</v>
      </c>
      <c r="N73" s="24">
        <v>0</v>
      </c>
      <c r="O73" s="156">
        <v>0</v>
      </c>
      <c r="P73" s="177">
        <v>0</v>
      </c>
      <c r="Q73" s="133"/>
      <c r="R73" s="23"/>
      <c r="S73" s="163"/>
      <c r="T73" s="133">
        <v>0</v>
      </c>
      <c r="U73" s="152">
        <v>0</v>
      </c>
      <c r="V73" s="172">
        <v>0</v>
      </c>
      <c r="W73" s="79">
        <f t="shared" si="12"/>
        <v>0</v>
      </c>
      <c r="X73" s="80">
        <f t="shared" si="13"/>
        <v>0</v>
      </c>
      <c r="Y73" s="91">
        <f t="shared" si="14"/>
        <v>0</v>
      </c>
    </row>
    <row r="74" spans="1:25" x14ac:dyDescent="0.25">
      <c r="A74" s="3" t="s">
        <v>119</v>
      </c>
      <c r="B74" s="133">
        <v>0</v>
      </c>
      <c r="C74" s="23">
        <v>0</v>
      </c>
      <c r="D74" s="23">
        <v>0</v>
      </c>
      <c r="E74" s="133"/>
      <c r="F74" s="23"/>
      <c r="G74" s="23"/>
      <c r="H74" s="133"/>
      <c r="I74" s="23"/>
      <c r="J74" s="23"/>
      <c r="K74" s="133">
        <v>0</v>
      </c>
      <c r="L74" s="23">
        <v>0</v>
      </c>
      <c r="M74" s="163">
        <v>0</v>
      </c>
      <c r="N74" s="24">
        <v>0</v>
      </c>
      <c r="O74" s="156">
        <v>0</v>
      </c>
      <c r="P74" s="177">
        <v>0</v>
      </c>
      <c r="Q74" s="133"/>
      <c r="R74" s="23"/>
      <c r="S74" s="163"/>
      <c r="T74" s="133">
        <v>0</v>
      </c>
      <c r="U74" s="152">
        <v>0</v>
      </c>
      <c r="V74" s="172">
        <v>0</v>
      </c>
      <c r="W74" s="79">
        <f t="shared" si="12"/>
        <v>0</v>
      </c>
      <c r="X74" s="80">
        <f t="shared" si="13"/>
        <v>0</v>
      </c>
      <c r="Y74" s="91">
        <f t="shared" si="14"/>
        <v>0</v>
      </c>
    </row>
    <row r="75" spans="1:25" x14ac:dyDescent="0.25">
      <c r="A75" s="3" t="s">
        <v>120</v>
      </c>
      <c r="B75" s="133">
        <v>0</v>
      </c>
      <c r="C75" s="23">
        <v>0</v>
      </c>
      <c r="D75" s="23">
        <v>0</v>
      </c>
      <c r="E75" s="133"/>
      <c r="F75" s="23"/>
      <c r="G75" s="23"/>
      <c r="H75" s="133"/>
      <c r="I75" s="23"/>
      <c r="J75" s="23"/>
      <c r="K75" s="133">
        <v>0</v>
      </c>
      <c r="L75" s="23">
        <v>0</v>
      </c>
      <c r="M75" s="163">
        <v>0</v>
      </c>
      <c r="N75" s="24">
        <v>0</v>
      </c>
      <c r="O75" s="156">
        <v>0</v>
      </c>
      <c r="P75" s="177">
        <v>0</v>
      </c>
      <c r="Q75" s="133"/>
      <c r="R75" s="23"/>
      <c r="S75" s="163"/>
      <c r="T75" s="133">
        <v>0</v>
      </c>
      <c r="U75" s="152">
        <v>0</v>
      </c>
      <c r="V75" s="172">
        <v>0</v>
      </c>
      <c r="W75" s="79">
        <f t="shared" si="12"/>
        <v>0</v>
      </c>
      <c r="X75" s="80">
        <f t="shared" si="13"/>
        <v>0</v>
      </c>
      <c r="Y75" s="91">
        <f t="shared" si="14"/>
        <v>0</v>
      </c>
    </row>
    <row r="76" spans="1:25" x14ac:dyDescent="0.25">
      <c r="A76" s="3" t="s">
        <v>121</v>
      </c>
      <c r="B76" s="133">
        <v>0</v>
      </c>
      <c r="C76" s="23">
        <v>0</v>
      </c>
      <c r="D76" s="23">
        <v>0</v>
      </c>
      <c r="E76" s="133"/>
      <c r="F76" s="23"/>
      <c r="G76" s="23"/>
      <c r="H76" s="133"/>
      <c r="I76" s="23"/>
      <c r="J76" s="23"/>
      <c r="K76" s="133">
        <v>0</v>
      </c>
      <c r="L76" s="23">
        <v>0</v>
      </c>
      <c r="M76" s="163">
        <v>0</v>
      </c>
      <c r="N76" s="24">
        <v>0</v>
      </c>
      <c r="O76" s="156">
        <v>0</v>
      </c>
      <c r="P76" s="177">
        <v>0</v>
      </c>
      <c r="Q76" s="133"/>
      <c r="R76" s="23"/>
      <c r="S76" s="163"/>
      <c r="T76" s="133">
        <v>0</v>
      </c>
      <c r="U76" s="152">
        <v>0</v>
      </c>
      <c r="V76" s="172">
        <v>0</v>
      </c>
      <c r="W76" s="79">
        <f t="shared" ref="W76:W82" si="15">+B76+E76+K76+H76+Q76</f>
        <v>0</v>
      </c>
      <c r="X76" s="80">
        <f t="shared" ref="X76:X83" si="16">+C76+F76+L76+I76+R76</f>
        <v>0</v>
      </c>
      <c r="Y76" s="91">
        <f t="shared" ref="Y76:Y83" si="17">+D76+G76+M76+J76+S76</f>
        <v>0</v>
      </c>
    </row>
    <row r="77" spans="1:25" x14ac:dyDescent="0.25">
      <c r="A77" s="3" t="s">
        <v>122</v>
      </c>
      <c r="B77" s="133">
        <v>0</v>
      </c>
      <c r="C77" s="23">
        <v>0</v>
      </c>
      <c r="D77" s="23">
        <v>0</v>
      </c>
      <c r="E77" s="133"/>
      <c r="F77" s="23"/>
      <c r="G77" s="23"/>
      <c r="H77" s="133"/>
      <c r="I77" s="23"/>
      <c r="J77" s="23"/>
      <c r="K77" s="133">
        <v>0</v>
      </c>
      <c r="L77" s="23">
        <v>0</v>
      </c>
      <c r="M77" s="163">
        <v>0</v>
      </c>
      <c r="N77" s="24">
        <v>0</v>
      </c>
      <c r="O77" s="156">
        <v>0</v>
      </c>
      <c r="P77" s="177">
        <v>0</v>
      </c>
      <c r="Q77" s="133"/>
      <c r="R77" s="23"/>
      <c r="S77" s="163"/>
      <c r="T77" s="133">
        <v>0</v>
      </c>
      <c r="U77" s="152">
        <v>0</v>
      </c>
      <c r="V77" s="172">
        <v>0</v>
      </c>
      <c r="W77" s="79">
        <f t="shared" si="15"/>
        <v>0</v>
      </c>
      <c r="X77" s="80">
        <f t="shared" si="16"/>
        <v>0</v>
      </c>
      <c r="Y77" s="91">
        <f t="shared" si="17"/>
        <v>0</v>
      </c>
    </row>
    <row r="78" spans="1:25" x14ac:dyDescent="0.25">
      <c r="A78" s="179" t="s">
        <v>138</v>
      </c>
      <c r="B78" s="133">
        <v>0</v>
      </c>
      <c r="C78" s="23">
        <v>0</v>
      </c>
      <c r="D78" s="23">
        <v>0</v>
      </c>
      <c r="E78" s="133">
        <v>0</v>
      </c>
      <c r="F78" s="23">
        <v>0</v>
      </c>
      <c r="G78" s="23">
        <v>0</v>
      </c>
      <c r="H78" s="133"/>
      <c r="I78" s="23"/>
      <c r="J78" s="23"/>
      <c r="K78" s="133">
        <v>0</v>
      </c>
      <c r="L78" s="23">
        <v>0</v>
      </c>
      <c r="M78" s="163">
        <v>0</v>
      </c>
      <c r="N78" s="133">
        <v>0</v>
      </c>
      <c r="O78" s="152">
        <v>0</v>
      </c>
      <c r="P78" s="172">
        <v>0</v>
      </c>
      <c r="Q78" s="133">
        <v>0</v>
      </c>
      <c r="R78" s="23">
        <v>0</v>
      </c>
      <c r="S78" s="163">
        <v>0</v>
      </c>
      <c r="T78" s="133">
        <v>0</v>
      </c>
      <c r="U78" s="152">
        <v>0</v>
      </c>
      <c r="V78" s="172">
        <v>0</v>
      </c>
      <c r="W78" s="79">
        <f t="shared" si="15"/>
        <v>0</v>
      </c>
      <c r="X78" s="80">
        <f t="shared" si="16"/>
        <v>0</v>
      </c>
      <c r="Y78" s="91">
        <f t="shared" si="17"/>
        <v>0</v>
      </c>
    </row>
    <row r="79" spans="1:25" x14ac:dyDescent="0.25">
      <c r="A79" s="179" t="s">
        <v>123</v>
      </c>
      <c r="B79" s="133"/>
      <c r="C79" s="23"/>
      <c r="D79" s="23"/>
      <c r="E79" s="133"/>
      <c r="F79" s="23"/>
      <c r="G79" s="23"/>
      <c r="H79" s="133"/>
      <c r="I79" s="23"/>
      <c r="J79" s="23"/>
      <c r="K79" s="133"/>
      <c r="L79" s="23"/>
      <c r="M79" s="163"/>
      <c r="N79" s="133"/>
      <c r="O79" s="152"/>
      <c r="P79" s="172"/>
      <c r="Q79" s="133"/>
      <c r="R79" s="23"/>
      <c r="S79" s="163"/>
      <c r="T79" s="133"/>
      <c r="U79" s="152"/>
      <c r="V79" s="172"/>
      <c r="W79" s="79">
        <f t="shared" si="15"/>
        <v>0</v>
      </c>
      <c r="X79" s="80">
        <f t="shared" si="16"/>
        <v>0</v>
      </c>
      <c r="Y79" s="91">
        <f t="shared" si="17"/>
        <v>0</v>
      </c>
    </row>
    <row r="80" spans="1:25" x14ac:dyDescent="0.25">
      <c r="A80" s="179" t="s">
        <v>124</v>
      </c>
      <c r="B80" s="133"/>
      <c r="C80" s="23"/>
      <c r="D80" s="23"/>
      <c r="E80" s="133"/>
      <c r="F80" s="23"/>
      <c r="G80" s="23"/>
      <c r="H80" s="133"/>
      <c r="I80" s="23"/>
      <c r="J80" s="23"/>
      <c r="K80" s="133"/>
      <c r="L80" s="23"/>
      <c r="M80" s="163"/>
      <c r="N80" s="133"/>
      <c r="O80" s="152"/>
      <c r="P80" s="172"/>
      <c r="Q80" s="133"/>
      <c r="R80" s="23"/>
      <c r="S80" s="163"/>
      <c r="T80" s="133"/>
      <c r="U80" s="152"/>
      <c r="V80" s="172"/>
      <c r="W80" s="79">
        <f t="shared" si="15"/>
        <v>0</v>
      </c>
      <c r="X80" s="80">
        <f t="shared" si="16"/>
        <v>0</v>
      </c>
      <c r="Y80" s="91">
        <f t="shared" si="17"/>
        <v>0</v>
      </c>
    </row>
    <row r="81" spans="1:25" x14ac:dyDescent="0.25">
      <c r="A81" s="179" t="s">
        <v>125</v>
      </c>
      <c r="B81" s="145"/>
      <c r="C81" s="146"/>
      <c r="D81" s="146"/>
      <c r="E81" s="145"/>
      <c r="F81" s="146"/>
      <c r="G81" s="146"/>
      <c r="H81" s="145"/>
      <c r="I81" s="146"/>
      <c r="J81" s="146"/>
      <c r="K81" s="145"/>
      <c r="L81" s="146"/>
      <c r="M81" s="164"/>
      <c r="N81" s="145"/>
      <c r="O81" s="153"/>
      <c r="P81" s="173"/>
      <c r="Q81" s="145"/>
      <c r="R81" s="146"/>
      <c r="S81" s="164"/>
      <c r="T81" s="145"/>
      <c r="U81" s="153"/>
      <c r="V81" s="173"/>
      <c r="W81" s="79">
        <f t="shared" si="15"/>
        <v>0</v>
      </c>
      <c r="X81" s="80">
        <f t="shared" si="16"/>
        <v>0</v>
      </c>
      <c r="Y81" s="91">
        <f t="shared" si="17"/>
        <v>0</v>
      </c>
    </row>
    <row r="82" spans="1:25" x14ac:dyDescent="0.25">
      <c r="A82" s="179" t="s">
        <v>126</v>
      </c>
      <c r="B82" s="145"/>
      <c r="C82" s="146"/>
      <c r="D82" s="146"/>
      <c r="E82" s="145"/>
      <c r="F82" s="146"/>
      <c r="G82" s="146"/>
      <c r="H82" s="145"/>
      <c r="I82" s="146"/>
      <c r="J82" s="146"/>
      <c r="K82" s="145"/>
      <c r="L82" s="146"/>
      <c r="M82" s="164"/>
      <c r="N82" s="145"/>
      <c r="O82" s="153"/>
      <c r="P82" s="173"/>
      <c r="Q82" s="145"/>
      <c r="R82" s="146"/>
      <c r="S82" s="164"/>
      <c r="T82" s="145"/>
      <c r="U82" s="153"/>
      <c r="V82" s="173"/>
      <c r="W82" s="79">
        <f t="shared" si="15"/>
        <v>0</v>
      </c>
      <c r="X82" s="80">
        <f t="shared" si="16"/>
        <v>0</v>
      </c>
      <c r="Y82" s="91">
        <f t="shared" si="17"/>
        <v>0</v>
      </c>
    </row>
    <row r="83" spans="1:25" x14ac:dyDescent="0.25">
      <c r="A83" s="179" t="s">
        <v>127</v>
      </c>
      <c r="B83" s="143"/>
      <c r="C83" s="144"/>
      <c r="D83" s="144"/>
      <c r="E83" s="143"/>
      <c r="F83" s="144"/>
      <c r="G83" s="144"/>
      <c r="H83" s="143"/>
      <c r="I83" s="144"/>
      <c r="J83" s="144"/>
      <c r="K83" s="143"/>
      <c r="L83" s="144"/>
      <c r="M83" s="165"/>
      <c r="N83" s="143"/>
      <c r="O83" s="154"/>
      <c r="P83" s="174"/>
      <c r="Q83" s="143"/>
      <c r="R83" s="144"/>
      <c r="S83" s="165"/>
      <c r="T83" s="143"/>
      <c r="U83" s="154"/>
      <c r="V83" s="174"/>
      <c r="W83" s="79">
        <f>+B83+E83+K83+H83+Q83</f>
        <v>0</v>
      </c>
      <c r="X83" s="80">
        <f t="shared" si="16"/>
        <v>0</v>
      </c>
      <c r="Y83" s="91">
        <f t="shared" si="17"/>
        <v>0</v>
      </c>
    </row>
    <row r="84" spans="1:25" s="81" customFormat="1" ht="20.45" customHeight="1" thickBot="1" x14ac:dyDescent="0.3">
      <c r="A84" s="181" t="s">
        <v>39</v>
      </c>
      <c r="B84" s="26">
        <f>SUM(B14:B83)</f>
        <v>2121.8000000000002</v>
      </c>
      <c r="C84" s="27">
        <f t="shared" ref="C84:S84" si="18">SUM(C14:C83)</f>
        <v>2121.8000000000002</v>
      </c>
      <c r="D84" s="27">
        <f t="shared" si="18"/>
        <v>2121.8000000000002</v>
      </c>
      <c r="E84" s="26">
        <f t="shared" si="18"/>
        <v>1856.4000000000003</v>
      </c>
      <c r="F84" s="27">
        <f t="shared" si="18"/>
        <v>1856.4000000000003</v>
      </c>
      <c r="G84" s="27">
        <f>SUM(G14:G83)</f>
        <v>1856.4000000000003</v>
      </c>
      <c r="H84" s="26">
        <f t="shared" si="18"/>
        <v>62.4</v>
      </c>
      <c r="I84" s="27">
        <f t="shared" si="18"/>
        <v>62.4</v>
      </c>
      <c r="J84" s="27">
        <f t="shared" si="18"/>
        <v>62.4</v>
      </c>
      <c r="K84" s="26">
        <f t="shared" si="18"/>
        <v>3073.2000000000007</v>
      </c>
      <c r="L84" s="27">
        <f t="shared" si="18"/>
        <v>3073.2000000000007</v>
      </c>
      <c r="M84" s="166">
        <f t="shared" si="18"/>
        <v>3073.2000000000007</v>
      </c>
      <c r="N84" s="26"/>
      <c r="O84" s="155"/>
      <c r="P84" s="175"/>
      <c r="Q84" s="26">
        <f t="shared" si="18"/>
        <v>780</v>
      </c>
      <c r="R84" s="27">
        <f t="shared" si="18"/>
        <v>780</v>
      </c>
      <c r="S84" s="166">
        <f t="shared" si="18"/>
        <v>780</v>
      </c>
      <c r="T84" s="26"/>
      <c r="U84" s="155"/>
      <c r="V84" s="175"/>
      <c r="W84" s="26">
        <f>+B84+E84+K84+H84+Q84</f>
        <v>7893.8000000000011</v>
      </c>
      <c r="X84" s="27">
        <f t="shared" si="13"/>
        <v>7893.8000000000011</v>
      </c>
      <c r="Y84" s="130">
        <f t="shared" si="14"/>
        <v>7893.8000000000011</v>
      </c>
    </row>
    <row r="85" spans="1:25" x14ac:dyDescent="0.25">
      <c r="A85" s="2"/>
      <c r="B85" s="5" t="b">
        <v>0</v>
      </c>
      <c r="C85" s="5" t="b">
        <v>0</v>
      </c>
      <c r="D85" s="5" t="b">
        <v>0</v>
      </c>
      <c r="E85" s="5" t="b">
        <v>0</v>
      </c>
      <c r="F85" s="5" t="b">
        <v>0</v>
      </c>
      <c r="G85" s="5" t="b">
        <v>0</v>
      </c>
      <c r="H85" s="5" t="b">
        <v>0</v>
      </c>
      <c r="I85" s="5" t="b">
        <v>0</v>
      </c>
      <c r="J85" s="5" t="b">
        <v>0</v>
      </c>
      <c r="K85" s="5" t="b">
        <v>0</v>
      </c>
      <c r="L85" s="5" t="b">
        <v>0</v>
      </c>
      <c r="M85" s="5" t="b">
        <v>0</v>
      </c>
      <c r="N85" s="5" t="b">
        <v>0</v>
      </c>
      <c r="O85" s="5" t="b">
        <v>0</v>
      </c>
      <c r="P85" s="5" t="b">
        <v>0</v>
      </c>
      <c r="Q85" s="5" t="b">
        <v>0</v>
      </c>
      <c r="R85" s="5" t="b">
        <v>0</v>
      </c>
      <c r="S85" s="5" t="b">
        <v>0</v>
      </c>
      <c r="T85" s="5" t="b">
        <v>0</v>
      </c>
      <c r="U85" s="5" t="b">
        <v>0</v>
      </c>
      <c r="V85" s="5" t="b">
        <v>0</v>
      </c>
    </row>
    <row r="86" spans="1:25" x14ac:dyDescent="0.25">
      <c r="A86" s="1"/>
      <c r="B86" s="1" t="b">
        <v>0</v>
      </c>
      <c r="C86" s="1" t="b">
        <v>0</v>
      </c>
      <c r="D86" s="1" t="b">
        <v>0</v>
      </c>
      <c r="E86" s="1" t="b">
        <v>0</v>
      </c>
      <c r="F86" s="1" t="b">
        <v>0</v>
      </c>
      <c r="G86" s="1" t="b">
        <v>0</v>
      </c>
      <c r="H86" s="1" t="b">
        <v>0</v>
      </c>
      <c r="I86" s="1" t="b">
        <v>0</v>
      </c>
      <c r="J86" s="1" t="b">
        <v>0</v>
      </c>
      <c r="K86" s="1" t="b">
        <v>0</v>
      </c>
      <c r="L86" s="1" t="b">
        <v>0</v>
      </c>
      <c r="M86" s="1" t="b">
        <v>0</v>
      </c>
      <c r="N86" s="1" t="b">
        <v>0</v>
      </c>
      <c r="O86" s="1" t="b">
        <v>0</v>
      </c>
      <c r="P86" s="1" t="b">
        <v>0</v>
      </c>
      <c r="Q86" s="1" t="b">
        <v>0</v>
      </c>
      <c r="R86" s="1" t="b">
        <v>0</v>
      </c>
      <c r="S86" s="1" t="b">
        <v>0</v>
      </c>
      <c r="T86" s="1" t="b">
        <v>0</v>
      </c>
      <c r="U86" s="1" t="b">
        <v>0</v>
      </c>
      <c r="V86" s="1" t="b">
        <v>0</v>
      </c>
      <c r="W86" s="82"/>
      <c r="X86" s="82"/>
      <c r="Y86" s="82"/>
    </row>
    <row r="87" spans="1:25" ht="20.25" x14ac:dyDescent="0.25">
      <c r="B87" s="134">
        <f t="shared" ref="B87:V87" si="19">B84-B11</f>
        <v>0.8000000000001819</v>
      </c>
      <c r="C87" s="134">
        <f t="shared" si="19"/>
        <v>0.8000000000001819</v>
      </c>
      <c r="D87" s="134">
        <f t="shared" si="19"/>
        <v>0.8000000000001819</v>
      </c>
      <c r="E87" s="137">
        <f t="shared" si="19"/>
        <v>-459.59999999999968</v>
      </c>
      <c r="F87" s="137">
        <f t="shared" si="19"/>
        <v>-459.59999999999968</v>
      </c>
      <c r="G87" s="137">
        <f>G84-G11</f>
        <v>-459.59999999999968</v>
      </c>
      <c r="H87" s="137">
        <f t="shared" si="19"/>
        <v>-32.800000000000004</v>
      </c>
      <c r="I87" s="137">
        <f t="shared" si="19"/>
        <v>-32.800000000000004</v>
      </c>
      <c r="J87" s="137">
        <f t="shared" si="19"/>
        <v>-32.800000000000004</v>
      </c>
      <c r="K87" s="137">
        <f t="shared" si="19"/>
        <v>10.800000000000637</v>
      </c>
      <c r="L87" s="137">
        <f t="shared" si="19"/>
        <v>10.800000000000637</v>
      </c>
      <c r="M87" s="137">
        <f t="shared" si="19"/>
        <v>10.800000000000637</v>
      </c>
      <c r="N87" s="137">
        <f t="shared" si="19"/>
        <v>-2031.4</v>
      </c>
      <c r="O87" s="137">
        <f t="shared" si="19"/>
        <v>-2031.4</v>
      </c>
      <c r="P87" s="137">
        <f t="shared" si="19"/>
        <v>-2031.4</v>
      </c>
      <c r="Q87" s="137">
        <f t="shared" si="19"/>
        <v>14</v>
      </c>
      <c r="R87" s="137">
        <f t="shared" si="19"/>
        <v>14</v>
      </c>
      <c r="S87" s="137">
        <f t="shared" si="19"/>
        <v>14</v>
      </c>
      <c r="T87" s="137">
        <f t="shared" si="19"/>
        <v>-53.6</v>
      </c>
      <c r="U87" s="137">
        <f t="shared" si="19"/>
        <v>-53.6</v>
      </c>
      <c r="V87" s="137">
        <f t="shared" si="19"/>
        <v>-53.6</v>
      </c>
      <c r="W87" s="83"/>
    </row>
    <row r="88" spans="1:25" ht="20.25" x14ac:dyDescent="0.25">
      <c r="B88" s="135">
        <v>15.6</v>
      </c>
      <c r="C88" s="135">
        <v>15.6</v>
      </c>
      <c r="D88" s="135">
        <v>15.6</v>
      </c>
      <c r="E88" s="135">
        <v>15.6</v>
      </c>
      <c r="F88" s="135">
        <v>15.6</v>
      </c>
      <c r="G88" s="135">
        <v>15.6</v>
      </c>
      <c r="H88" s="135">
        <v>15.6</v>
      </c>
      <c r="I88" s="135">
        <v>15.6</v>
      </c>
      <c r="J88" s="135">
        <v>15.6</v>
      </c>
      <c r="K88" s="135">
        <v>15.6</v>
      </c>
      <c r="L88" s="135">
        <v>15.6</v>
      </c>
      <c r="M88" s="135">
        <v>15.6</v>
      </c>
      <c r="N88" s="135">
        <v>15.6</v>
      </c>
      <c r="O88" s="135">
        <v>15.6</v>
      </c>
      <c r="P88" s="135">
        <v>15.6</v>
      </c>
      <c r="Q88" s="135">
        <v>15.6</v>
      </c>
      <c r="R88" s="135">
        <v>15.6</v>
      </c>
      <c r="S88" s="135">
        <v>15.6</v>
      </c>
      <c r="T88" s="135">
        <v>15.6</v>
      </c>
      <c r="U88" s="135">
        <v>15.6</v>
      </c>
      <c r="V88" s="135">
        <v>15.6</v>
      </c>
    </row>
    <row r="89" spans="1:25" ht="20.25" x14ac:dyDescent="0.25">
      <c r="B89" s="136" t="b">
        <f t="shared" ref="B89:S89" si="20">+B87&lt;=B88</f>
        <v>1</v>
      </c>
      <c r="C89" s="136" t="b">
        <f t="shared" si="20"/>
        <v>1</v>
      </c>
      <c r="D89" s="136" t="b">
        <f t="shared" si="20"/>
        <v>1</v>
      </c>
      <c r="E89" s="136" t="b">
        <f t="shared" si="20"/>
        <v>1</v>
      </c>
      <c r="F89" s="136" t="b">
        <f t="shared" si="20"/>
        <v>1</v>
      </c>
      <c r="G89" s="136" t="b">
        <f t="shared" si="20"/>
        <v>1</v>
      </c>
      <c r="H89" s="136" t="b">
        <f t="shared" si="20"/>
        <v>1</v>
      </c>
      <c r="I89" s="136" t="b">
        <f t="shared" si="20"/>
        <v>1</v>
      </c>
      <c r="J89" s="136" t="b">
        <f t="shared" si="20"/>
        <v>1</v>
      </c>
      <c r="K89" s="136" t="b">
        <f>+K87&lt;=K88</f>
        <v>1</v>
      </c>
      <c r="L89" s="136" t="b">
        <f t="shared" si="20"/>
        <v>1</v>
      </c>
      <c r="M89" s="136" t="b">
        <f t="shared" si="20"/>
        <v>1</v>
      </c>
      <c r="N89" s="136" t="b">
        <f t="shared" ref="N89:P89" si="21">+N87&lt;=N88</f>
        <v>1</v>
      </c>
      <c r="O89" s="136" t="b">
        <f t="shared" si="21"/>
        <v>1</v>
      </c>
      <c r="P89" s="136" t="b">
        <f t="shared" si="21"/>
        <v>1</v>
      </c>
      <c r="Q89" s="136" t="b">
        <f t="shared" si="20"/>
        <v>1</v>
      </c>
      <c r="R89" s="136" t="b">
        <f t="shared" si="20"/>
        <v>1</v>
      </c>
      <c r="S89" s="136" t="b">
        <f t="shared" si="20"/>
        <v>1</v>
      </c>
      <c r="T89" s="136" t="b">
        <f t="shared" ref="T89:V89" si="22">+T87&lt;=T88</f>
        <v>1</v>
      </c>
      <c r="U89" s="136" t="b">
        <f t="shared" si="22"/>
        <v>1</v>
      </c>
      <c r="V89" s="136" t="b">
        <f t="shared" si="22"/>
        <v>1</v>
      </c>
    </row>
  </sheetData>
  <mergeCells count="17">
    <mergeCell ref="T4:V4"/>
    <mergeCell ref="B2:Y2"/>
    <mergeCell ref="E4:G4"/>
    <mergeCell ref="K4:M4"/>
    <mergeCell ref="E3:G3"/>
    <mergeCell ref="B3:D3"/>
    <mergeCell ref="W4:Y4"/>
    <mergeCell ref="W3:Y3"/>
    <mergeCell ref="B4:D4"/>
    <mergeCell ref="Q3:S3"/>
    <mergeCell ref="Q4:S4"/>
    <mergeCell ref="K3:M3"/>
    <mergeCell ref="H3:J3"/>
    <mergeCell ref="H4:J4"/>
    <mergeCell ref="N3:P3"/>
    <mergeCell ref="N4:P4"/>
    <mergeCell ref="T3:V3"/>
  </mergeCells>
  <phoneticPr fontId="24" type="noConversion"/>
  <conditionalFormatting sqref="A86">
    <cfRule type="containsText" dxfId="4" priority="12" operator="containsText" text="TRUE">
      <formula>NOT(ISERROR(SEARCH("TRUE",A86)))</formula>
    </cfRule>
    <cfRule type="containsText" dxfId="3" priority="13" operator="containsText" text="FALSE">
      <formula>NOT(ISERROR(SEARCH("FALSE",A86)))</formula>
    </cfRule>
  </conditionalFormatting>
  <conditionalFormatting sqref="B87:D87">
    <cfRule type="cellIs" dxfId="2" priority="9" operator="lessThan">
      <formula>0</formula>
    </cfRule>
  </conditionalFormatting>
  <conditionalFormatting sqref="B89:V89">
    <cfRule type="containsText" dxfId="1" priority="10" operator="containsText" text="TRUE">
      <formula>NOT(ISERROR(SEARCH("TRUE",B89)))</formula>
    </cfRule>
    <cfRule type="containsText" dxfId="0" priority="11" operator="containsText" text="FALSE">
      <formula>NOT(ISERROR(SEARCH("FALSE",B89)))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514"/>
  <sheetViews>
    <sheetView tabSelected="1" zoomScale="70" zoomScaleNormal="70" zoomScaleSheetLayoutView="80" workbookViewId="0">
      <pane ySplit="18" topLeftCell="A69" activePane="bottomLeft" state="frozen"/>
      <selection pane="bottomLeft" activeCell="I88" sqref="I88"/>
    </sheetView>
  </sheetViews>
  <sheetFormatPr defaultColWidth="10.28515625" defaultRowHeight="18" x14ac:dyDescent="0.25"/>
  <cols>
    <col min="1" max="1" width="19.5703125" style="30" bestFit="1" customWidth="1"/>
    <col min="2" max="8" width="21.7109375" style="30" customWidth="1"/>
    <col min="9" max="9" width="18" style="30" customWidth="1"/>
    <col min="10" max="10" width="11.42578125" style="111" bestFit="1" customWidth="1"/>
    <col min="11" max="11" width="11.5703125" style="111" customWidth="1"/>
    <col min="12" max="12" width="12.5703125" style="111" bestFit="1" customWidth="1"/>
    <col min="13" max="13" width="28.42578125" style="111" customWidth="1"/>
    <col min="14" max="15" width="9.42578125" style="111" bestFit="1" customWidth="1"/>
    <col min="16" max="16" width="22" style="111" bestFit="1" customWidth="1"/>
    <col min="17" max="17" width="22" style="111" customWidth="1"/>
    <col min="18" max="18" width="30.42578125" style="111" customWidth="1"/>
    <col min="19" max="19" width="28.140625" style="111" customWidth="1"/>
    <col min="20" max="20" width="15.42578125" style="111" bestFit="1" customWidth="1"/>
    <col min="21" max="21" width="12" style="111" bestFit="1" customWidth="1"/>
    <col min="22" max="22" width="12.42578125" style="111" bestFit="1" customWidth="1"/>
    <col min="23" max="16384" width="10.28515625" style="30"/>
  </cols>
  <sheetData>
    <row r="1" spans="1:22" x14ac:dyDescent="0.25">
      <c r="J1" s="110"/>
    </row>
    <row r="2" spans="1:22" x14ac:dyDescent="0.25">
      <c r="J2" s="110"/>
    </row>
    <row r="3" spans="1:22" x14ac:dyDescent="0.25">
      <c r="A3" s="31" t="s">
        <v>35</v>
      </c>
      <c r="B3" s="31" t="s">
        <v>34</v>
      </c>
      <c r="C3" s="56"/>
      <c r="D3" s="56" t="s">
        <v>33</v>
      </c>
      <c r="E3" s="56" t="s">
        <v>32</v>
      </c>
      <c r="F3" s="56"/>
      <c r="G3" s="56"/>
      <c r="H3" s="56"/>
      <c r="J3" s="30"/>
    </row>
    <row r="4" spans="1:22" x14ac:dyDescent="0.25">
      <c r="A4" s="31" t="s">
        <v>31</v>
      </c>
      <c r="B4" s="32" t="s">
        <v>30</v>
      </c>
      <c r="C4" s="56"/>
      <c r="D4" s="56" t="s">
        <v>29</v>
      </c>
      <c r="E4" s="56" t="s">
        <v>139</v>
      </c>
      <c r="F4" s="56"/>
      <c r="G4" s="56"/>
      <c r="H4" s="56"/>
      <c r="J4" s="42"/>
      <c r="K4" s="112"/>
      <c r="N4" s="30"/>
      <c r="O4" s="30"/>
    </row>
    <row r="5" spans="1:22" x14ac:dyDescent="0.25">
      <c r="A5" s="31" t="s">
        <v>28</v>
      </c>
      <c r="B5" s="34"/>
      <c r="C5" s="57"/>
      <c r="D5" s="56" t="s">
        <v>27</v>
      </c>
      <c r="E5" s="57"/>
      <c r="F5" s="57"/>
      <c r="G5" s="57"/>
      <c r="H5" s="57"/>
      <c r="J5" s="131"/>
      <c r="N5" s="30"/>
      <c r="O5" s="42"/>
    </row>
    <row r="6" spans="1:22" x14ac:dyDescent="0.25">
      <c r="A6" s="31" t="s">
        <v>26</v>
      </c>
      <c r="B6" s="35"/>
      <c r="C6" s="58"/>
      <c r="D6" s="56" t="s">
        <v>25</v>
      </c>
      <c r="E6" s="58">
        <v>45545</v>
      </c>
      <c r="F6" s="58"/>
      <c r="G6" s="58"/>
      <c r="H6" s="58"/>
      <c r="J6" s="30"/>
      <c r="N6" s="30"/>
      <c r="O6" s="131"/>
    </row>
    <row r="7" spans="1:22" x14ac:dyDescent="0.25">
      <c r="J7" s="113"/>
      <c r="N7" s="30"/>
      <c r="O7" s="30"/>
    </row>
    <row r="8" spans="1:22" ht="18.75" thickBot="1" x14ac:dyDescent="0.3">
      <c r="B8" s="36"/>
      <c r="C8" s="36"/>
      <c r="D8" s="36"/>
      <c r="E8" s="36"/>
      <c r="F8" s="36"/>
      <c r="G8" s="36"/>
      <c r="H8" s="36"/>
      <c r="I8" s="37"/>
      <c r="J8" s="113"/>
      <c r="K8" s="114"/>
      <c r="L8" s="115"/>
      <c r="M8" s="116"/>
      <c r="N8" s="117"/>
      <c r="P8" s="117"/>
      <c r="Q8" s="117"/>
      <c r="R8" s="118"/>
      <c r="S8" s="119"/>
      <c r="T8" s="119"/>
      <c r="U8" s="119"/>
      <c r="V8" s="119"/>
    </row>
    <row r="9" spans="1:22" ht="28.5" customHeight="1" x14ac:dyDescent="0.25">
      <c r="B9" s="38" t="s">
        <v>43</v>
      </c>
      <c r="C9" s="38" t="s">
        <v>44</v>
      </c>
      <c r="D9" s="38" t="s">
        <v>44</v>
      </c>
      <c r="E9" s="38" t="s">
        <v>41</v>
      </c>
      <c r="F9" s="38" t="s">
        <v>134</v>
      </c>
      <c r="G9" s="38" t="s">
        <v>1</v>
      </c>
      <c r="H9" s="38" t="s">
        <v>136</v>
      </c>
      <c r="I9" s="188" t="s">
        <v>24</v>
      </c>
      <c r="J9" s="190" t="s">
        <v>45</v>
      </c>
      <c r="K9" s="195" t="s">
        <v>46</v>
      </c>
      <c r="L9" s="190" t="s">
        <v>47</v>
      </c>
      <c r="M9" s="203" t="s">
        <v>48</v>
      </c>
      <c r="N9" s="190" t="s">
        <v>49</v>
      </c>
      <c r="O9" s="190" t="s">
        <v>50</v>
      </c>
      <c r="P9" s="190" t="s">
        <v>51</v>
      </c>
      <c r="Q9" s="203" t="s">
        <v>52</v>
      </c>
      <c r="R9" s="203" t="s">
        <v>53</v>
      </c>
      <c r="S9" s="190" t="s">
        <v>54</v>
      </c>
      <c r="T9" s="190" t="s">
        <v>55</v>
      </c>
      <c r="U9" s="203" t="s">
        <v>56</v>
      </c>
      <c r="V9" s="209" t="s">
        <v>57</v>
      </c>
    </row>
    <row r="10" spans="1:22" ht="18" customHeight="1" x14ac:dyDescent="0.25">
      <c r="B10" s="39" t="s">
        <v>10</v>
      </c>
      <c r="C10" s="39" t="s">
        <v>11</v>
      </c>
      <c r="D10" s="39" t="s">
        <v>11</v>
      </c>
      <c r="E10" s="39" t="s">
        <v>12</v>
      </c>
      <c r="F10" s="39" t="s">
        <v>135</v>
      </c>
      <c r="G10" s="39" t="s">
        <v>13</v>
      </c>
      <c r="H10" s="39" t="s">
        <v>137</v>
      </c>
      <c r="I10" s="189"/>
      <c r="J10" s="191"/>
      <c r="K10" s="196"/>
      <c r="L10" s="191"/>
      <c r="M10" s="204"/>
      <c r="N10" s="191"/>
      <c r="O10" s="191"/>
      <c r="P10" s="191"/>
      <c r="Q10" s="204"/>
      <c r="R10" s="204"/>
      <c r="S10" s="191"/>
      <c r="T10" s="191"/>
      <c r="U10" s="204"/>
      <c r="V10" s="210"/>
    </row>
    <row r="11" spans="1:22" s="42" customFormat="1" ht="18" customHeight="1" x14ac:dyDescent="0.25">
      <c r="A11" s="40" t="s">
        <v>8</v>
      </c>
      <c r="B11" s="41" t="s">
        <v>36</v>
      </c>
      <c r="C11" s="41" t="s">
        <v>36</v>
      </c>
      <c r="D11" s="41" t="s">
        <v>73</v>
      </c>
      <c r="E11" s="41" t="s">
        <v>36</v>
      </c>
      <c r="F11" s="41" t="s">
        <v>36</v>
      </c>
      <c r="G11" s="41" t="s">
        <v>37</v>
      </c>
      <c r="H11" s="41" t="s">
        <v>37</v>
      </c>
      <c r="I11" s="189"/>
      <c r="J11" s="191"/>
      <c r="K11" s="196"/>
      <c r="L11" s="191"/>
      <c r="M11" s="204"/>
      <c r="N11" s="191"/>
      <c r="O11" s="191"/>
      <c r="P11" s="191"/>
      <c r="Q11" s="204"/>
      <c r="R11" s="204"/>
      <c r="S11" s="191"/>
      <c r="T11" s="191"/>
      <c r="U11" s="204"/>
      <c r="V11" s="210"/>
    </row>
    <row r="12" spans="1:22" ht="18" customHeight="1" x14ac:dyDescent="0.25">
      <c r="A12" s="40" t="s">
        <v>23</v>
      </c>
      <c r="B12" s="41"/>
      <c r="C12" s="41"/>
      <c r="D12" s="41"/>
      <c r="E12" s="41"/>
      <c r="F12" s="41"/>
      <c r="G12" s="41"/>
      <c r="H12" s="41"/>
      <c r="I12" s="189"/>
      <c r="J12" s="191"/>
      <c r="K12" s="196"/>
      <c r="L12" s="191"/>
      <c r="M12" s="204"/>
      <c r="N12" s="191"/>
      <c r="O12" s="191"/>
      <c r="P12" s="191"/>
      <c r="Q12" s="204"/>
      <c r="R12" s="204"/>
      <c r="S12" s="191"/>
      <c r="T12" s="191"/>
      <c r="U12" s="204"/>
      <c r="V12" s="210"/>
    </row>
    <row r="13" spans="1:22" ht="18" customHeight="1" x14ac:dyDescent="0.25">
      <c r="A13" s="40" t="s">
        <v>22</v>
      </c>
      <c r="B13" s="41">
        <v>3</v>
      </c>
      <c r="C13" s="41">
        <v>3</v>
      </c>
      <c r="D13" s="41">
        <v>3</v>
      </c>
      <c r="E13" s="41">
        <v>3</v>
      </c>
      <c r="F13" s="41">
        <v>3</v>
      </c>
      <c r="G13" s="41">
        <v>3</v>
      </c>
      <c r="H13" s="41">
        <v>3</v>
      </c>
      <c r="I13" s="189"/>
      <c r="J13" s="191"/>
      <c r="K13" s="196"/>
      <c r="L13" s="191"/>
      <c r="M13" s="204"/>
      <c r="N13" s="191"/>
      <c r="O13" s="191"/>
      <c r="P13" s="191"/>
      <c r="Q13" s="204"/>
      <c r="R13" s="204"/>
      <c r="S13" s="191"/>
      <c r="T13" s="191"/>
      <c r="U13" s="204"/>
      <c r="V13" s="210"/>
    </row>
    <row r="14" spans="1:22" s="42" customFormat="1" ht="18" customHeight="1" x14ac:dyDescent="0.25">
      <c r="A14" s="42" t="s">
        <v>21</v>
      </c>
      <c r="B14" s="43">
        <f>SUM('Breakdown '!B9:D9)</f>
        <v>1872</v>
      </c>
      <c r="C14" s="43">
        <f>+SUM('Breakdown '!E9:G9)</f>
        <v>2106</v>
      </c>
      <c r="D14" s="43">
        <f>+SUM('Breakdown '!H9:J9)</f>
        <v>93.6</v>
      </c>
      <c r="E14" s="43">
        <f>+SUM('Breakdown '!K9:M9)</f>
        <v>2761.2</v>
      </c>
      <c r="F14" s="43">
        <f>+SUM('Breakdown '!L9:N9)</f>
        <v>2449.1999999999998</v>
      </c>
      <c r="G14" s="43">
        <f>+SUM('Breakdown '!M9:O9)</f>
        <v>2137.1999999999998</v>
      </c>
      <c r="H14" s="43">
        <f>+SUM('Breakdown '!N9:P9)</f>
        <v>1825.1999999999998</v>
      </c>
      <c r="I14" s="189"/>
      <c r="J14" s="192"/>
      <c r="K14" s="197"/>
      <c r="L14" s="200"/>
      <c r="M14" s="204"/>
      <c r="N14" s="200"/>
      <c r="O14" s="206"/>
      <c r="P14" s="206"/>
      <c r="Q14" s="204"/>
      <c r="R14" s="204"/>
      <c r="S14" s="206"/>
      <c r="T14" s="206"/>
      <c r="U14" s="204"/>
      <c r="V14" s="211"/>
    </row>
    <row r="15" spans="1:22" s="46" customFormat="1" ht="18" customHeight="1" x14ac:dyDescent="0.25">
      <c r="A15" s="44" t="s">
        <v>20</v>
      </c>
      <c r="B15" s="45">
        <f>SUM('Breakdown '!B10:D10)</f>
        <v>4491</v>
      </c>
      <c r="C15" s="45">
        <f>+SUM('Breakdown '!E10:G10)</f>
        <v>4842</v>
      </c>
      <c r="D15" s="45">
        <f>+SUM('Breakdown '!H10:J10)</f>
        <v>192</v>
      </c>
      <c r="E15" s="45">
        <f>+SUM('Breakdown '!K10:M10)</f>
        <v>6426</v>
      </c>
      <c r="F15" s="45">
        <f>+SUM('Breakdown '!L10:N10)</f>
        <v>5707</v>
      </c>
      <c r="G15" s="45">
        <f>+SUM('Breakdown '!M10:O10)</f>
        <v>4988</v>
      </c>
      <c r="H15" s="45">
        <f>+SUM('Breakdown '!N10:P10)</f>
        <v>4269</v>
      </c>
      <c r="I15" s="189"/>
      <c r="J15" s="192"/>
      <c r="K15" s="197"/>
      <c r="L15" s="200"/>
      <c r="M15" s="204"/>
      <c r="N15" s="200"/>
      <c r="O15" s="206"/>
      <c r="P15" s="206"/>
      <c r="Q15" s="204"/>
      <c r="R15" s="204"/>
      <c r="S15" s="206"/>
      <c r="T15" s="206"/>
      <c r="U15" s="204"/>
      <c r="V15" s="211"/>
    </row>
    <row r="16" spans="1:22" ht="18" customHeight="1" x14ac:dyDescent="0.25">
      <c r="A16" s="30" t="s">
        <v>15</v>
      </c>
      <c r="B16" s="47">
        <f t="shared" ref="B16:H16" si="0">B15+B14</f>
        <v>6363</v>
      </c>
      <c r="C16" s="47">
        <f t="shared" si="0"/>
        <v>6948</v>
      </c>
      <c r="D16" s="47">
        <f t="shared" si="0"/>
        <v>285.60000000000002</v>
      </c>
      <c r="E16" s="47">
        <f t="shared" si="0"/>
        <v>9187.2000000000007</v>
      </c>
      <c r="F16" s="47">
        <f t="shared" si="0"/>
        <v>8156.2</v>
      </c>
      <c r="G16" s="47">
        <f t="shared" si="0"/>
        <v>7125.2</v>
      </c>
      <c r="H16" s="47">
        <f t="shared" si="0"/>
        <v>6094.2</v>
      </c>
      <c r="I16" s="189"/>
      <c r="J16" s="192"/>
      <c r="K16" s="197"/>
      <c r="L16" s="200"/>
      <c r="M16" s="204"/>
      <c r="N16" s="200"/>
      <c r="O16" s="206"/>
      <c r="P16" s="206"/>
      <c r="Q16" s="204"/>
      <c r="R16" s="204"/>
      <c r="S16" s="206"/>
      <c r="T16" s="206"/>
      <c r="U16" s="204"/>
      <c r="V16" s="211"/>
    </row>
    <row r="17" spans="1:22" ht="18" customHeight="1" x14ac:dyDescent="0.25">
      <c r="A17" s="48" t="s">
        <v>19</v>
      </c>
      <c r="B17" s="43"/>
      <c r="C17" s="43"/>
      <c r="D17" s="43"/>
      <c r="E17" s="43"/>
      <c r="F17" s="43"/>
      <c r="G17" s="43"/>
      <c r="H17" s="43"/>
      <c r="I17" s="189"/>
      <c r="J17" s="193"/>
      <c r="K17" s="198"/>
      <c r="L17" s="201"/>
      <c r="M17" s="204"/>
      <c r="N17" s="201"/>
      <c r="O17" s="207"/>
      <c r="P17" s="207"/>
      <c r="Q17" s="204"/>
      <c r="R17" s="204"/>
      <c r="S17" s="207"/>
      <c r="T17" s="207"/>
      <c r="U17" s="204"/>
      <c r="V17" s="212"/>
    </row>
    <row r="18" spans="1:22" ht="18" customHeight="1" thickBot="1" x14ac:dyDescent="0.3">
      <c r="A18" s="30" t="s">
        <v>18</v>
      </c>
      <c r="B18" s="55" t="s">
        <v>17</v>
      </c>
      <c r="C18" s="55" t="s">
        <v>17</v>
      </c>
      <c r="D18" s="55" t="s">
        <v>17</v>
      </c>
      <c r="E18" s="55" t="s">
        <v>17</v>
      </c>
      <c r="F18" s="55" t="s">
        <v>16</v>
      </c>
      <c r="G18" s="55" t="s">
        <v>16</v>
      </c>
      <c r="H18" s="55" t="s">
        <v>16</v>
      </c>
      <c r="I18" s="189"/>
      <c r="J18" s="194"/>
      <c r="K18" s="199"/>
      <c r="L18" s="202"/>
      <c r="M18" s="205"/>
      <c r="N18" s="202"/>
      <c r="O18" s="208"/>
      <c r="P18" s="208"/>
      <c r="Q18" s="205"/>
      <c r="R18" s="205"/>
      <c r="S18" s="208"/>
      <c r="T18" s="208"/>
      <c r="U18" s="205"/>
      <c r="V18" s="213"/>
    </row>
    <row r="19" spans="1:22" ht="18.75" thickTop="1" x14ac:dyDescent="0.25">
      <c r="A19" s="179" t="s">
        <v>58</v>
      </c>
      <c r="B19" s="49">
        <f>+SUM('Breakdown '!B14:D14)</f>
        <v>0</v>
      </c>
      <c r="C19" s="49">
        <f>+SUM('Breakdown '!E14:G14)</f>
        <v>0</v>
      </c>
      <c r="D19" s="49">
        <f>+SUM('Breakdown '!H14:J14)</f>
        <v>0</v>
      </c>
      <c r="E19" s="49">
        <f>+SUM('Breakdown '!K14:M14)</f>
        <v>0</v>
      </c>
      <c r="F19" s="49">
        <f>+SUM('Breakdown '!L14:N14)</f>
        <v>0</v>
      </c>
      <c r="G19" s="49">
        <f>+SUM('Breakdown '!M14:O14)</f>
        <v>0</v>
      </c>
      <c r="H19" s="49">
        <f>+SUM('Breakdown '!N14:P14)</f>
        <v>0</v>
      </c>
      <c r="I19" s="59">
        <f t="shared" ref="I19:I50" si="1">SUM(B19:H19)</f>
        <v>0</v>
      </c>
      <c r="J19" s="97">
        <v>0</v>
      </c>
      <c r="K19" s="98">
        <v>46308</v>
      </c>
      <c r="L19" s="99">
        <f t="shared" ref="L19:L83" si="2">_xlfn.ISOWEEKNUM(K19)</f>
        <v>42</v>
      </c>
      <c r="M19" s="100"/>
      <c r="N19" s="101"/>
      <c r="O19" s="101"/>
      <c r="P19" s="102"/>
      <c r="Q19" s="102"/>
      <c r="R19" s="102"/>
      <c r="S19" s="102"/>
      <c r="T19" s="102"/>
      <c r="U19" s="103"/>
      <c r="V19" s="104"/>
    </row>
    <row r="20" spans="1:22" x14ac:dyDescent="0.25">
      <c r="A20" s="179" t="s">
        <v>59</v>
      </c>
      <c r="B20" s="50">
        <f>+SUM('Breakdown '!B15:D15)</f>
        <v>0</v>
      </c>
      <c r="C20" s="50">
        <f>+SUM('Breakdown '!E15:G15)</f>
        <v>0</v>
      </c>
      <c r="D20" s="50">
        <f>+SUM('Breakdown '!H15:J15)</f>
        <v>0</v>
      </c>
      <c r="E20" s="50">
        <f>+SUM('Breakdown '!K15:M15)</f>
        <v>0</v>
      </c>
      <c r="F20" s="49">
        <f>+SUM('Breakdown '!L15:N15)</f>
        <v>0</v>
      </c>
      <c r="G20" s="49">
        <f>+SUM('Breakdown '!M15:O15)</f>
        <v>0</v>
      </c>
      <c r="H20" s="49">
        <f>+SUM('Breakdown '!N15:P15)</f>
        <v>0</v>
      </c>
      <c r="I20" s="59">
        <f t="shared" si="1"/>
        <v>0</v>
      </c>
      <c r="J20" s="97">
        <f>I20+J19</f>
        <v>0</v>
      </c>
      <c r="K20" s="98">
        <f t="shared" ref="K20:K85" si="3">K19+7</f>
        <v>46315</v>
      </c>
      <c r="L20" s="99">
        <f t="shared" si="2"/>
        <v>43</v>
      </c>
      <c r="M20" s="100"/>
      <c r="N20" s="101"/>
      <c r="O20" s="101"/>
      <c r="P20" s="102"/>
      <c r="Q20" s="102"/>
      <c r="R20" s="102"/>
      <c r="S20" s="102"/>
      <c r="T20" s="102"/>
      <c r="U20" s="103"/>
      <c r="V20" s="104"/>
    </row>
    <row r="21" spans="1:22" x14ac:dyDescent="0.25">
      <c r="A21" s="179" t="s">
        <v>60</v>
      </c>
      <c r="B21" s="50">
        <f>+SUM('Breakdown '!B16:D16)</f>
        <v>0</v>
      </c>
      <c r="C21" s="50">
        <f>+SUM('Breakdown '!E16:G16)</f>
        <v>0</v>
      </c>
      <c r="D21" s="50">
        <f>+SUM('Breakdown '!H16:J16)</f>
        <v>0</v>
      </c>
      <c r="E21" s="50">
        <f>+SUM('Breakdown '!K16:M16)</f>
        <v>0</v>
      </c>
      <c r="F21" s="49">
        <f>+SUM('Breakdown '!L16:N16)</f>
        <v>0</v>
      </c>
      <c r="G21" s="49">
        <f>+SUM('Breakdown '!M16:O16)</f>
        <v>0</v>
      </c>
      <c r="H21" s="49">
        <f>+SUM('Breakdown '!N16:P16)</f>
        <v>0</v>
      </c>
      <c r="I21" s="59">
        <f t="shared" si="1"/>
        <v>0</v>
      </c>
      <c r="J21" s="97">
        <f t="shared" ref="J21:J30" si="4">I21+J20</f>
        <v>0</v>
      </c>
      <c r="K21" s="98">
        <f t="shared" si="3"/>
        <v>46322</v>
      </c>
      <c r="L21" s="99">
        <f t="shared" si="2"/>
        <v>44</v>
      </c>
      <c r="M21" s="100"/>
      <c r="N21" s="101"/>
      <c r="O21" s="101"/>
      <c r="P21" s="102"/>
      <c r="Q21" s="102"/>
      <c r="R21" s="102"/>
      <c r="S21" s="102"/>
      <c r="T21" s="102"/>
      <c r="U21" s="103"/>
      <c r="V21" s="104"/>
    </row>
    <row r="22" spans="1:22" x14ac:dyDescent="0.25">
      <c r="A22" s="179" t="s">
        <v>61</v>
      </c>
      <c r="B22" s="50">
        <f>+SUM('Breakdown '!B17:D17)</f>
        <v>0</v>
      </c>
      <c r="C22" s="50">
        <f>+SUM('Breakdown '!E17:G17)</f>
        <v>0</v>
      </c>
      <c r="D22" s="50">
        <f>+SUM('Breakdown '!H17:J17)</f>
        <v>0</v>
      </c>
      <c r="E22" s="50">
        <f>+SUM('Breakdown '!K17:M17)</f>
        <v>0</v>
      </c>
      <c r="F22" s="49">
        <f>+SUM('Breakdown '!L17:N17)</f>
        <v>0</v>
      </c>
      <c r="G22" s="49">
        <f>+SUM('Breakdown '!M17:O17)</f>
        <v>0</v>
      </c>
      <c r="H22" s="49">
        <f>+SUM('Breakdown '!N17:P17)</f>
        <v>0</v>
      </c>
      <c r="I22" s="61">
        <f t="shared" si="1"/>
        <v>0</v>
      </c>
      <c r="J22" s="97">
        <f t="shared" si="4"/>
        <v>0</v>
      </c>
      <c r="K22" s="98">
        <f t="shared" si="3"/>
        <v>46329</v>
      </c>
      <c r="L22" s="99">
        <f t="shared" si="2"/>
        <v>45</v>
      </c>
      <c r="M22" s="100"/>
      <c r="N22" s="101"/>
      <c r="O22" s="101"/>
      <c r="P22" s="102"/>
      <c r="Q22" s="102"/>
      <c r="R22" s="102"/>
      <c r="S22" s="102"/>
      <c r="T22" s="102"/>
      <c r="U22" s="103"/>
      <c r="V22" s="104"/>
    </row>
    <row r="23" spans="1:22" x14ac:dyDescent="0.25">
      <c r="A23" s="179" t="s">
        <v>62</v>
      </c>
      <c r="B23" s="50">
        <f>+SUM('Breakdown '!B18:D18)</f>
        <v>0</v>
      </c>
      <c r="C23" s="50">
        <f>+SUM('Breakdown '!E18:G18)</f>
        <v>0</v>
      </c>
      <c r="D23" s="50">
        <f>+SUM('Breakdown '!H18:J18)</f>
        <v>0</v>
      </c>
      <c r="E23" s="50">
        <f>+SUM('Breakdown '!K18:M18)</f>
        <v>0</v>
      </c>
      <c r="F23" s="49">
        <f>+SUM('Breakdown '!L18:N18)</f>
        <v>0</v>
      </c>
      <c r="G23" s="49">
        <f>+SUM('Breakdown '!M18:O18)</f>
        <v>0</v>
      </c>
      <c r="H23" s="49">
        <f>+SUM('Breakdown '!N18:P18)</f>
        <v>0</v>
      </c>
      <c r="I23" s="59">
        <f t="shared" si="1"/>
        <v>0</v>
      </c>
      <c r="J23" s="97">
        <f t="shared" si="4"/>
        <v>0</v>
      </c>
      <c r="K23" s="98">
        <f t="shared" si="3"/>
        <v>46336</v>
      </c>
      <c r="L23" s="99">
        <f t="shared" si="2"/>
        <v>46</v>
      </c>
      <c r="M23" s="100"/>
      <c r="N23" s="101"/>
      <c r="O23" s="101"/>
      <c r="P23" s="102"/>
      <c r="Q23" s="102"/>
      <c r="R23" s="102"/>
      <c r="S23" s="102"/>
      <c r="T23" s="102"/>
      <c r="U23" s="103"/>
      <c r="V23" s="104"/>
    </row>
    <row r="24" spans="1:22" x14ac:dyDescent="0.25">
      <c r="A24" s="179" t="s">
        <v>63</v>
      </c>
      <c r="B24" s="50">
        <f>+SUM('Breakdown '!B19:D19)</f>
        <v>0</v>
      </c>
      <c r="C24" s="50">
        <f>+SUM('Breakdown '!E19:G19)</f>
        <v>0</v>
      </c>
      <c r="D24" s="50">
        <f>+SUM('Breakdown '!H19:J19)</f>
        <v>0</v>
      </c>
      <c r="E24" s="50">
        <f>+SUM('Breakdown '!K19:M19)</f>
        <v>0</v>
      </c>
      <c r="F24" s="49">
        <f>+SUM('Breakdown '!L19:N19)</f>
        <v>0</v>
      </c>
      <c r="G24" s="49">
        <f>+SUM('Breakdown '!M19:O19)</f>
        <v>0</v>
      </c>
      <c r="H24" s="49">
        <f>+SUM('Breakdown '!N19:P19)</f>
        <v>0</v>
      </c>
      <c r="I24" s="59">
        <f t="shared" si="1"/>
        <v>0</v>
      </c>
      <c r="J24" s="97">
        <f t="shared" si="4"/>
        <v>0</v>
      </c>
      <c r="K24" s="98">
        <f t="shared" si="3"/>
        <v>46343</v>
      </c>
      <c r="L24" s="99">
        <f t="shared" si="2"/>
        <v>47</v>
      </c>
      <c r="M24" s="100"/>
      <c r="N24" s="101"/>
      <c r="O24" s="101"/>
      <c r="P24" s="102"/>
      <c r="Q24" s="102"/>
      <c r="R24" s="102"/>
      <c r="S24" s="102"/>
      <c r="T24" s="102"/>
      <c r="U24" s="103"/>
      <c r="V24" s="104"/>
    </row>
    <row r="25" spans="1:22" x14ac:dyDescent="0.25">
      <c r="A25" s="179" t="s">
        <v>64</v>
      </c>
      <c r="B25" s="50">
        <f>+SUM('Breakdown '!B20:D20)</f>
        <v>0</v>
      </c>
      <c r="C25" s="50">
        <f>+SUM('Breakdown '!E20:G20)</f>
        <v>140.39999999999998</v>
      </c>
      <c r="D25" s="50">
        <f>+SUM('Breakdown '!H20:J20)</f>
        <v>0</v>
      </c>
      <c r="E25" s="50">
        <f>+SUM('Breakdown '!K20:M20)</f>
        <v>0</v>
      </c>
      <c r="F25" s="49">
        <f>+SUM('Breakdown '!L20:N20)</f>
        <v>0</v>
      </c>
      <c r="G25" s="49">
        <f>+SUM('Breakdown '!M20:O20)</f>
        <v>0</v>
      </c>
      <c r="H25" s="49">
        <f>+SUM('Breakdown '!N20:P20)</f>
        <v>0</v>
      </c>
      <c r="I25" s="60">
        <f t="shared" si="1"/>
        <v>140.39999999999998</v>
      </c>
      <c r="J25" s="97">
        <f t="shared" si="4"/>
        <v>140.39999999999998</v>
      </c>
      <c r="K25" s="98">
        <f t="shared" si="3"/>
        <v>46350</v>
      </c>
      <c r="L25" s="99">
        <f t="shared" si="2"/>
        <v>48</v>
      </c>
      <c r="M25" s="100"/>
      <c r="N25" s="101"/>
      <c r="O25" s="101"/>
      <c r="P25" s="102"/>
      <c r="Q25" s="102"/>
      <c r="R25" s="102"/>
      <c r="S25" s="102"/>
      <c r="T25" s="102"/>
      <c r="U25" s="103"/>
      <c r="V25" s="104"/>
    </row>
    <row r="26" spans="1:22" x14ac:dyDescent="0.25">
      <c r="A26" s="179" t="s">
        <v>65</v>
      </c>
      <c r="B26" s="50">
        <f>+SUM('Breakdown '!B21:D21)</f>
        <v>0</v>
      </c>
      <c r="C26" s="50">
        <f>+SUM('Breakdown '!E21:G21)</f>
        <v>0</v>
      </c>
      <c r="D26" s="50">
        <f>+SUM('Breakdown '!H21:J21)</f>
        <v>0</v>
      </c>
      <c r="E26" s="50">
        <f>+SUM('Breakdown '!K21:M21)</f>
        <v>468</v>
      </c>
      <c r="F26" s="49">
        <f>+SUM('Breakdown '!L21:N21)</f>
        <v>312</v>
      </c>
      <c r="G26" s="49">
        <f>+SUM('Breakdown '!M21:O21)</f>
        <v>156</v>
      </c>
      <c r="H26" s="49">
        <f>+SUM('Breakdown '!N21:P21)</f>
        <v>0</v>
      </c>
      <c r="I26" s="59">
        <f t="shared" si="1"/>
        <v>936</v>
      </c>
      <c r="J26" s="97">
        <f t="shared" si="4"/>
        <v>1076.4000000000001</v>
      </c>
      <c r="K26" s="98">
        <f t="shared" si="3"/>
        <v>46357</v>
      </c>
      <c r="L26" s="99">
        <f t="shared" si="2"/>
        <v>49</v>
      </c>
      <c r="M26" s="100"/>
      <c r="N26" s="101"/>
      <c r="O26" s="101"/>
      <c r="P26" s="102"/>
      <c r="Q26" s="102"/>
      <c r="R26" s="102"/>
      <c r="S26" s="102"/>
      <c r="T26" s="102"/>
      <c r="U26" s="103"/>
      <c r="V26" s="104"/>
    </row>
    <row r="27" spans="1:22" x14ac:dyDescent="0.25">
      <c r="A27" s="179" t="s">
        <v>66</v>
      </c>
      <c r="B27" s="50">
        <f>+SUM('Breakdown '!B22:D22)</f>
        <v>468</v>
      </c>
      <c r="C27" s="138">
        <f>+SUM('Breakdown '!E22:G22)</f>
        <v>0</v>
      </c>
      <c r="D27" s="50">
        <f>+SUM('Breakdown '!H22:J22)</f>
        <v>0</v>
      </c>
      <c r="E27" s="50">
        <f>+SUM('Breakdown '!K22:M22)</f>
        <v>0</v>
      </c>
      <c r="F27" s="49">
        <f>+SUM('Breakdown '!L22:N22)</f>
        <v>0</v>
      </c>
      <c r="G27" s="49">
        <f>+SUM('Breakdown '!M22:O22)</f>
        <v>0</v>
      </c>
      <c r="H27" s="49">
        <f>+SUM('Breakdown '!N22:P22)</f>
        <v>0</v>
      </c>
      <c r="I27" s="60">
        <f t="shared" si="1"/>
        <v>468</v>
      </c>
      <c r="J27" s="97">
        <f t="shared" si="4"/>
        <v>1544.4</v>
      </c>
      <c r="K27" s="98">
        <f t="shared" si="3"/>
        <v>46364</v>
      </c>
      <c r="L27" s="99">
        <f t="shared" si="2"/>
        <v>50</v>
      </c>
      <c r="M27" s="100"/>
      <c r="N27" s="101"/>
      <c r="O27" s="101"/>
      <c r="P27" s="102"/>
      <c r="Q27" s="102"/>
      <c r="R27" s="102"/>
      <c r="S27" s="102"/>
      <c r="T27" s="102"/>
      <c r="U27" s="103"/>
      <c r="V27" s="104"/>
    </row>
    <row r="28" spans="1:22" x14ac:dyDescent="0.25">
      <c r="A28" s="179" t="s">
        <v>67</v>
      </c>
      <c r="B28" s="138">
        <f>+SUM('Breakdown '!B23:D23)</f>
        <v>0</v>
      </c>
      <c r="C28" s="138">
        <f>+SUM('Breakdown '!E23:G23)</f>
        <v>468</v>
      </c>
      <c r="D28" s="50">
        <f>+SUM('Breakdown '!H23:J23)</f>
        <v>0</v>
      </c>
      <c r="E28" s="50">
        <f>+SUM('Breakdown '!K23:M23)</f>
        <v>0</v>
      </c>
      <c r="F28" s="49">
        <f>+SUM('Breakdown '!L23:N23)</f>
        <v>0</v>
      </c>
      <c r="G28" s="49">
        <f>+SUM('Breakdown '!M23:O23)</f>
        <v>0</v>
      </c>
      <c r="H28" s="49">
        <f>+SUM('Breakdown '!N23:P23)</f>
        <v>0</v>
      </c>
      <c r="I28" s="60">
        <f t="shared" si="1"/>
        <v>468</v>
      </c>
      <c r="J28" s="97">
        <f t="shared" si="4"/>
        <v>2012.4</v>
      </c>
      <c r="K28" s="98">
        <f t="shared" si="3"/>
        <v>46371</v>
      </c>
      <c r="L28" s="99">
        <f t="shared" si="2"/>
        <v>51</v>
      </c>
      <c r="M28" s="100"/>
      <c r="N28" s="101"/>
      <c r="O28" s="101"/>
      <c r="P28" s="102"/>
      <c r="Q28" s="102"/>
      <c r="R28" s="102"/>
      <c r="S28" s="102"/>
      <c r="T28" s="102"/>
      <c r="U28" s="103"/>
      <c r="V28" s="104"/>
    </row>
    <row r="29" spans="1:22" x14ac:dyDescent="0.25">
      <c r="A29" s="179" t="s">
        <v>68</v>
      </c>
      <c r="B29" s="138">
        <f>+SUM('Breakdown '!B24:D24)</f>
        <v>0</v>
      </c>
      <c r="C29" s="138">
        <f>+SUM('Breakdown '!E24:G24)</f>
        <v>0</v>
      </c>
      <c r="D29" s="50">
        <f>+SUM('Breakdown '!H24:J24)</f>
        <v>0</v>
      </c>
      <c r="E29" s="50">
        <f>+SUM('Breakdown '!K24:M24)</f>
        <v>748.8</v>
      </c>
      <c r="F29" s="49">
        <f>+SUM('Breakdown '!L24:N24)</f>
        <v>499.2</v>
      </c>
      <c r="G29" s="49">
        <f>+SUM('Breakdown '!M24:O24)</f>
        <v>249.6</v>
      </c>
      <c r="H29" s="49">
        <f>+SUM('Breakdown '!N24:P24)</f>
        <v>0</v>
      </c>
      <c r="I29" s="60">
        <f t="shared" si="1"/>
        <v>1497.6</v>
      </c>
      <c r="J29" s="97">
        <f t="shared" si="4"/>
        <v>3510</v>
      </c>
      <c r="K29" s="98">
        <f t="shared" si="3"/>
        <v>46378</v>
      </c>
      <c r="L29" s="99">
        <f t="shared" si="2"/>
        <v>52</v>
      </c>
      <c r="M29" s="100"/>
      <c r="N29" s="101"/>
      <c r="O29" s="101"/>
      <c r="P29" s="102"/>
      <c r="Q29" s="102"/>
      <c r="R29" s="102"/>
      <c r="S29" s="102"/>
      <c r="T29" s="102"/>
      <c r="U29" s="103"/>
      <c r="V29" s="104"/>
    </row>
    <row r="30" spans="1:22" x14ac:dyDescent="0.25">
      <c r="A30" s="179" t="s">
        <v>76</v>
      </c>
      <c r="B30" s="138">
        <f>+SUM('Breakdown '!B25:D25)</f>
        <v>374.4</v>
      </c>
      <c r="C30" s="138">
        <f>+SUM('Breakdown '!E25:G25)</f>
        <v>0</v>
      </c>
      <c r="D30" s="50">
        <f>+SUM('Breakdown '!H25:J25)</f>
        <v>0</v>
      </c>
      <c r="E30" s="50">
        <f>+SUM('Breakdown '!K25:M25)</f>
        <v>0</v>
      </c>
      <c r="F30" s="49">
        <f>+SUM('Breakdown '!L25:N25)</f>
        <v>0</v>
      </c>
      <c r="G30" s="49">
        <f>+SUM('Breakdown '!M25:O25)</f>
        <v>0</v>
      </c>
      <c r="H30" s="49">
        <f>+SUM('Breakdown '!N25:P25)</f>
        <v>0</v>
      </c>
      <c r="I30" s="61">
        <f t="shared" si="1"/>
        <v>374.4</v>
      </c>
      <c r="J30" s="97">
        <f t="shared" si="4"/>
        <v>3884.4</v>
      </c>
      <c r="K30" s="98">
        <f t="shared" si="3"/>
        <v>46385</v>
      </c>
      <c r="L30" s="99">
        <f t="shared" si="2"/>
        <v>53</v>
      </c>
      <c r="M30" s="100"/>
      <c r="N30" s="101"/>
      <c r="O30" s="101"/>
      <c r="P30" s="105"/>
      <c r="Q30" s="102"/>
      <c r="R30" s="102"/>
      <c r="S30" s="102"/>
      <c r="T30" s="102"/>
      <c r="U30" s="103"/>
      <c r="V30" s="104"/>
    </row>
    <row r="31" spans="1:22" x14ac:dyDescent="0.25">
      <c r="A31" s="180" t="s">
        <v>69</v>
      </c>
      <c r="B31" s="138">
        <f>+SUM('Breakdown '!B26:D26)</f>
        <v>468</v>
      </c>
      <c r="C31" s="138">
        <f>+SUM('Breakdown '!E26:G26)</f>
        <v>702</v>
      </c>
      <c r="D31" s="50">
        <f>+SUM('Breakdown '!H26:J26)</f>
        <v>0</v>
      </c>
      <c r="E31" s="50">
        <f>+SUM('Breakdown '!K26:M26)</f>
        <v>0</v>
      </c>
      <c r="F31" s="49">
        <f>+SUM('Breakdown '!L26:N26)</f>
        <v>0</v>
      </c>
      <c r="G31" s="49">
        <f>+SUM('Breakdown '!M26:O26)</f>
        <v>0</v>
      </c>
      <c r="H31" s="49">
        <f>+SUM('Breakdown '!N26:P26)</f>
        <v>0</v>
      </c>
      <c r="I31" s="60">
        <f t="shared" si="1"/>
        <v>1170</v>
      </c>
      <c r="J31" s="97">
        <f>I31+J30</f>
        <v>5054.3999999999996</v>
      </c>
      <c r="K31" s="98">
        <f t="shared" si="3"/>
        <v>46392</v>
      </c>
      <c r="L31" s="99">
        <f t="shared" si="2"/>
        <v>1</v>
      </c>
      <c r="M31" s="100"/>
      <c r="N31" s="101"/>
      <c r="O31" s="101"/>
      <c r="P31" s="106"/>
      <c r="Q31" s="107"/>
      <c r="R31" s="102"/>
      <c r="S31" s="102"/>
      <c r="T31" s="102"/>
      <c r="U31" s="102"/>
      <c r="V31" s="104"/>
    </row>
    <row r="32" spans="1:22" x14ac:dyDescent="0.25">
      <c r="A32" s="179" t="s">
        <v>70</v>
      </c>
      <c r="B32" s="138">
        <f>+SUM('Breakdown '!B27:D27)</f>
        <v>0</v>
      </c>
      <c r="C32" s="138">
        <f>+SUM('Breakdown '!E27:G27)</f>
        <v>748.8</v>
      </c>
      <c r="D32" s="50">
        <f>+SUM('Breakdown '!H27:J27)</f>
        <v>0</v>
      </c>
      <c r="E32" s="50">
        <f>+SUM('Breakdown '!K27:M27)</f>
        <v>0</v>
      </c>
      <c r="F32" s="49">
        <f>+SUM('Breakdown '!L27:N27)</f>
        <v>0</v>
      </c>
      <c r="G32" s="49">
        <f>+SUM('Breakdown '!M27:O27)</f>
        <v>0</v>
      </c>
      <c r="H32" s="49">
        <f>+SUM('Breakdown '!N27:P27)</f>
        <v>0</v>
      </c>
      <c r="I32" s="60">
        <f t="shared" si="1"/>
        <v>748.8</v>
      </c>
      <c r="J32" s="97">
        <f t="shared" ref="J32:J49" si="5">I32+J31</f>
        <v>5803.2</v>
      </c>
      <c r="K32" s="98">
        <f t="shared" si="3"/>
        <v>46399</v>
      </c>
      <c r="L32" s="99">
        <f t="shared" si="2"/>
        <v>2</v>
      </c>
      <c r="M32" s="100"/>
      <c r="N32" s="101"/>
      <c r="O32" s="101"/>
      <c r="P32" s="108"/>
      <c r="Q32" s="109"/>
      <c r="R32" s="102"/>
      <c r="S32" s="102"/>
      <c r="T32" s="102"/>
      <c r="U32" s="103"/>
      <c r="V32" s="104"/>
    </row>
    <row r="33" spans="1:22" x14ac:dyDescent="0.25">
      <c r="A33" s="179" t="s">
        <v>71</v>
      </c>
      <c r="B33" s="138">
        <f>+SUM('Breakdown '!B28:D28)</f>
        <v>0</v>
      </c>
      <c r="C33" s="138">
        <f>+SUM('Breakdown '!E28:G28)</f>
        <v>280.79999999999995</v>
      </c>
      <c r="D33" s="50">
        <f>+SUM('Breakdown '!H28:J28)</f>
        <v>0</v>
      </c>
      <c r="E33" s="50">
        <f>+SUM('Breakdown '!K28:M28)</f>
        <v>748.8</v>
      </c>
      <c r="F33" s="49">
        <f>+SUM('Breakdown '!L28:N28)</f>
        <v>499.2</v>
      </c>
      <c r="G33" s="49">
        <f>+SUM('Breakdown '!M28:O28)</f>
        <v>249.6</v>
      </c>
      <c r="H33" s="49">
        <f>+SUM('Breakdown '!N28:P28)</f>
        <v>0</v>
      </c>
      <c r="I33" s="61">
        <f t="shared" si="1"/>
        <v>1778.3999999999999</v>
      </c>
      <c r="J33" s="97">
        <f>I33+J32</f>
        <v>7581.5999999999995</v>
      </c>
      <c r="K33" s="98">
        <f t="shared" si="3"/>
        <v>46406</v>
      </c>
      <c r="L33" s="99">
        <f t="shared" si="2"/>
        <v>3</v>
      </c>
      <c r="M33" s="100"/>
      <c r="N33" s="101"/>
      <c r="O33" s="101"/>
      <c r="P33" s="108"/>
      <c r="Q33" s="109"/>
      <c r="R33" s="102"/>
      <c r="S33" s="102"/>
      <c r="T33" s="102"/>
      <c r="U33" s="103"/>
      <c r="V33" s="104"/>
    </row>
    <row r="34" spans="1:22" x14ac:dyDescent="0.25">
      <c r="A34" s="179" t="s">
        <v>72</v>
      </c>
      <c r="B34" s="138">
        <f>+SUM('Breakdown '!B29:D29)</f>
        <v>561.59999999999991</v>
      </c>
      <c r="C34" s="138">
        <f>+SUM('Breakdown '!E29:G29)</f>
        <v>0</v>
      </c>
      <c r="D34" s="50">
        <f>+SUM('Breakdown '!H29:J29)</f>
        <v>93.6</v>
      </c>
      <c r="E34" s="50">
        <f>+SUM('Breakdown '!K29:M29)</f>
        <v>0</v>
      </c>
      <c r="F34" s="49">
        <f>+SUM('Breakdown '!L29:N29)</f>
        <v>0</v>
      </c>
      <c r="G34" s="49">
        <f>+SUM('Breakdown '!M29:O29)</f>
        <v>0</v>
      </c>
      <c r="H34" s="49">
        <f>+SUM('Breakdown '!N29:P29)</f>
        <v>0</v>
      </c>
      <c r="I34" s="60">
        <f t="shared" si="1"/>
        <v>655.19999999999993</v>
      </c>
      <c r="J34" s="97">
        <f t="shared" si="5"/>
        <v>8236.7999999999993</v>
      </c>
      <c r="K34" s="98">
        <f t="shared" si="3"/>
        <v>46413</v>
      </c>
      <c r="L34" s="99">
        <f t="shared" si="2"/>
        <v>4</v>
      </c>
      <c r="M34" s="100"/>
      <c r="N34" s="101"/>
      <c r="O34" s="101"/>
      <c r="P34" s="108"/>
      <c r="Q34" s="109"/>
      <c r="R34" s="102"/>
      <c r="S34" s="102"/>
      <c r="T34" s="102"/>
      <c r="U34" s="103"/>
      <c r="V34" s="104"/>
    </row>
    <row r="35" spans="1:22" x14ac:dyDescent="0.25">
      <c r="A35" s="179" t="s">
        <v>74</v>
      </c>
      <c r="B35" s="138">
        <f>+SUM('Breakdown '!B30:D30)</f>
        <v>0</v>
      </c>
      <c r="C35" s="138">
        <f>+SUM('Breakdown '!E30:G30)</f>
        <v>0</v>
      </c>
      <c r="D35" s="50">
        <f>+SUM('Breakdown '!H30:J30)</f>
        <v>0</v>
      </c>
      <c r="E35" s="50">
        <f>+SUM('Breakdown '!K30:M30)</f>
        <v>0</v>
      </c>
      <c r="F35" s="49">
        <f>+SUM('Breakdown '!L30:N30)</f>
        <v>0</v>
      </c>
      <c r="G35" s="49">
        <f>+SUM('Breakdown '!M30:O30)</f>
        <v>0</v>
      </c>
      <c r="H35" s="49">
        <f>+SUM('Breakdown '!N30:P30)</f>
        <v>0</v>
      </c>
      <c r="I35" s="60">
        <f t="shared" si="1"/>
        <v>0</v>
      </c>
      <c r="J35" s="97">
        <f t="shared" si="5"/>
        <v>8236.7999999999993</v>
      </c>
      <c r="K35" s="98">
        <f t="shared" si="3"/>
        <v>46420</v>
      </c>
      <c r="L35" s="99">
        <f t="shared" si="2"/>
        <v>5</v>
      </c>
      <c r="M35" s="100"/>
      <c r="N35" s="101"/>
      <c r="O35" s="101"/>
      <c r="P35" s="108"/>
      <c r="Q35" s="109"/>
      <c r="R35" s="102"/>
      <c r="S35" s="102"/>
      <c r="T35" s="102"/>
      <c r="U35" s="103"/>
      <c r="V35" s="104"/>
    </row>
    <row r="36" spans="1:22" x14ac:dyDescent="0.25">
      <c r="A36" s="179" t="s">
        <v>75</v>
      </c>
      <c r="B36" s="138">
        <f>+SUM('Breakdown '!B31:D31)</f>
        <v>0</v>
      </c>
      <c r="C36" s="138">
        <f>+SUM('Breakdown '!E31:G31)</f>
        <v>0</v>
      </c>
      <c r="D36" s="50">
        <f>+SUM('Breakdown '!H31:J31)</f>
        <v>0</v>
      </c>
      <c r="E36" s="50">
        <f>+SUM('Breakdown '!K31:M31)</f>
        <v>0</v>
      </c>
      <c r="F36" s="49">
        <f>+SUM('Breakdown '!L31:N31)</f>
        <v>0</v>
      </c>
      <c r="G36" s="49">
        <f>+SUM('Breakdown '!M31:O31)</f>
        <v>0</v>
      </c>
      <c r="H36" s="49">
        <f>+SUM('Breakdown '!N31:P31)</f>
        <v>0</v>
      </c>
      <c r="I36" s="61">
        <f t="shared" si="1"/>
        <v>0</v>
      </c>
      <c r="J36" s="97">
        <f t="shared" si="5"/>
        <v>8236.7999999999993</v>
      </c>
      <c r="K36" s="98">
        <f t="shared" si="3"/>
        <v>46427</v>
      </c>
      <c r="L36" s="99">
        <f t="shared" si="2"/>
        <v>6</v>
      </c>
      <c r="M36" s="100"/>
      <c r="N36" s="101"/>
      <c r="O36" s="101"/>
      <c r="P36" s="108"/>
      <c r="Q36" s="109"/>
      <c r="R36" s="102"/>
      <c r="S36" s="102"/>
      <c r="T36" s="102"/>
      <c r="U36" s="103"/>
      <c r="V36" s="104"/>
    </row>
    <row r="37" spans="1:22" x14ac:dyDescent="0.25">
      <c r="A37" s="179" t="s">
        <v>77</v>
      </c>
      <c r="B37" s="138">
        <f>+SUM('Breakdown '!B32:D32)</f>
        <v>0</v>
      </c>
      <c r="C37" s="138">
        <f>+SUM('Breakdown '!E32:G32)</f>
        <v>514.79999999999995</v>
      </c>
      <c r="D37" s="50">
        <f>+SUM('Breakdown '!H32:J32)</f>
        <v>93.6</v>
      </c>
      <c r="E37" s="50">
        <f>+SUM('Breakdown '!K32:M32)</f>
        <v>280.79999999999995</v>
      </c>
      <c r="F37" s="49">
        <f>+SUM('Breakdown '!L32:N32)</f>
        <v>187.2</v>
      </c>
      <c r="G37" s="49">
        <f>+SUM('Breakdown '!M32:O32)</f>
        <v>93.6</v>
      </c>
      <c r="H37" s="49">
        <f>+SUM('Breakdown '!N32:P32)</f>
        <v>0</v>
      </c>
      <c r="I37" s="60">
        <f t="shared" si="1"/>
        <v>1169.9999999999998</v>
      </c>
      <c r="J37" s="97">
        <f t="shared" si="5"/>
        <v>9406.7999999999993</v>
      </c>
      <c r="K37" s="98">
        <f t="shared" si="3"/>
        <v>46434</v>
      </c>
      <c r="L37" s="99">
        <f t="shared" si="2"/>
        <v>7</v>
      </c>
      <c r="M37" s="100"/>
      <c r="N37" s="101"/>
      <c r="O37" s="101"/>
      <c r="P37" s="108"/>
      <c r="Q37" s="109"/>
      <c r="R37" s="102"/>
      <c r="S37" s="102"/>
      <c r="T37" s="102"/>
      <c r="U37" s="103"/>
      <c r="V37" s="104"/>
    </row>
    <row r="38" spans="1:22" x14ac:dyDescent="0.25">
      <c r="A38" s="179" t="s">
        <v>78</v>
      </c>
      <c r="B38" s="138">
        <f>+SUM('Breakdown '!B33:D33)</f>
        <v>468</v>
      </c>
      <c r="C38" s="138">
        <f>+SUM('Breakdown '!E33:G33)</f>
        <v>0</v>
      </c>
      <c r="D38" s="50">
        <f>+SUM('Breakdown '!H33:J33)</f>
        <v>0</v>
      </c>
      <c r="E38" s="50">
        <f>+SUM('Breakdown '!K33:M33)</f>
        <v>514.79999999999995</v>
      </c>
      <c r="F38" s="49">
        <f>+SUM('Breakdown '!L33:N33)</f>
        <v>343.2</v>
      </c>
      <c r="G38" s="49">
        <f>+SUM('Breakdown '!M33:O33)</f>
        <v>171.6</v>
      </c>
      <c r="H38" s="49">
        <f>+SUM('Breakdown '!N33:P33)</f>
        <v>0</v>
      </c>
      <c r="I38" s="60">
        <f t="shared" si="1"/>
        <v>1497.6</v>
      </c>
      <c r="J38" s="97">
        <f t="shared" si="5"/>
        <v>10904.4</v>
      </c>
      <c r="K38" s="98">
        <f t="shared" si="3"/>
        <v>46441</v>
      </c>
      <c r="L38" s="99">
        <f t="shared" si="2"/>
        <v>8</v>
      </c>
      <c r="M38" s="100"/>
      <c r="N38" s="101"/>
      <c r="O38" s="101"/>
      <c r="P38" s="108"/>
      <c r="Q38" s="109"/>
      <c r="R38" s="102"/>
      <c r="S38" s="102"/>
      <c r="T38" s="102"/>
      <c r="U38" s="103"/>
      <c r="V38" s="104"/>
    </row>
    <row r="39" spans="1:22" x14ac:dyDescent="0.25">
      <c r="A39" s="179" t="s">
        <v>79</v>
      </c>
      <c r="B39" s="138">
        <f>+SUM('Breakdown '!B34:D34)</f>
        <v>608.40000000000009</v>
      </c>
      <c r="C39" s="139">
        <f>+SUM('Breakdown '!E34:G34)</f>
        <v>0</v>
      </c>
      <c r="D39" s="50">
        <f>+SUM('Breakdown '!H34:J34)</f>
        <v>0</v>
      </c>
      <c r="E39" s="51">
        <f>+SUM('Breakdown '!K34:M34)</f>
        <v>280.79999999999995</v>
      </c>
      <c r="F39" s="231">
        <f>+SUM('Breakdown '!L34:N34)</f>
        <v>187.2</v>
      </c>
      <c r="G39" s="231">
        <f>+SUM('Breakdown '!M34:O34)</f>
        <v>93.6</v>
      </c>
      <c r="H39" s="49">
        <f>+SUM('Breakdown '!N34:P34)</f>
        <v>0</v>
      </c>
      <c r="I39" s="60">
        <f t="shared" si="1"/>
        <v>1170</v>
      </c>
      <c r="J39" s="97">
        <f t="shared" si="5"/>
        <v>12074.4</v>
      </c>
      <c r="K39" s="98">
        <f t="shared" si="3"/>
        <v>46448</v>
      </c>
      <c r="L39" s="99">
        <f t="shared" si="2"/>
        <v>9</v>
      </c>
      <c r="M39" s="100"/>
      <c r="N39" s="101"/>
      <c r="O39" s="101"/>
      <c r="P39" s="108"/>
      <c r="Q39" s="109"/>
      <c r="R39" s="102"/>
      <c r="S39" s="102"/>
      <c r="T39" s="102"/>
      <c r="U39" s="103"/>
      <c r="V39" s="104"/>
    </row>
    <row r="40" spans="1:22" x14ac:dyDescent="0.25">
      <c r="A40" s="179" t="s">
        <v>80</v>
      </c>
      <c r="B40" s="138">
        <f>+SUM('Breakdown '!B35:D35)</f>
        <v>702</v>
      </c>
      <c r="C40" s="138">
        <f>+SUM('Breakdown '!E35:G35)</f>
        <v>0</v>
      </c>
      <c r="D40" s="50">
        <f>+SUM('Breakdown '!H35:J35)</f>
        <v>0</v>
      </c>
      <c r="E40" s="51">
        <f>+SUM('Breakdown '!K35:M35)</f>
        <v>0</v>
      </c>
      <c r="F40" s="231">
        <f>+SUM('Breakdown '!L35:N35)</f>
        <v>0</v>
      </c>
      <c r="G40" s="231">
        <f>+SUM('Breakdown '!M35:O35)</f>
        <v>0</v>
      </c>
      <c r="H40" s="49">
        <f>+SUM('Breakdown '!N35:P35)</f>
        <v>0</v>
      </c>
      <c r="I40" s="60">
        <f t="shared" si="1"/>
        <v>702</v>
      </c>
      <c r="J40" s="97">
        <f t="shared" si="5"/>
        <v>12776.4</v>
      </c>
      <c r="K40" s="98">
        <f t="shared" si="3"/>
        <v>46455</v>
      </c>
      <c r="L40" s="99">
        <f t="shared" si="2"/>
        <v>10</v>
      </c>
      <c r="M40" s="100"/>
      <c r="N40" s="101"/>
      <c r="O40" s="101"/>
      <c r="P40" s="108"/>
      <c r="Q40" s="109"/>
      <c r="R40" s="102"/>
      <c r="S40" s="102"/>
      <c r="T40" s="102"/>
      <c r="U40" s="103"/>
      <c r="V40" s="104"/>
    </row>
    <row r="41" spans="1:22" x14ac:dyDescent="0.25">
      <c r="A41" s="179" t="s">
        <v>81</v>
      </c>
      <c r="B41" s="138">
        <f>+SUM('Breakdown '!B36:D36)</f>
        <v>0</v>
      </c>
      <c r="C41" s="138">
        <f>+SUM('Breakdown '!E36:G36)</f>
        <v>0</v>
      </c>
      <c r="D41" s="51">
        <f>+SUM('Breakdown '!H36:J36)</f>
        <v>0</v>
      </c>
      <c r="E41" s="51">
        <f>+SUM('Breakdown '!K36:M36)</f>
        <v>748.8</v>
      </c>
      <c r="F41" s="231">
        <f>+SUM('Breakdown '!L36:N36)</f>
        <v>499.2</v>
      </c>
      <c r="G41" s="231">
        <f>+SUM('Breakdown '!M36:O36)</f>
        <v>249.6</v>
      </c>
      <c r="H41" s="49">
        <f>+SUM('Breakdown '!N36:P36)</f>
        <v>0</v>
      </c>
      <c r="I41" s="60">
        <f t="shared" si="1"/>
        <v>1497.6</v>
      </c>
      <c r="J41" s="97">
        <f t="shared" si="5"/>
        <v>14274</v>
      </c>
      <c r="K41" s="98">
        <f t="shared" si="3"/>
        <v>46462</v>
      </c>
      <c r="L41" s="99">
        <f t="shared" si="2"/>
        <v>11</v>
      </c>
      <c r="M41" s="100"/>
      <c r="N41" s="101"/>
      <c r="O41" s="101"/>
      <c r="P41" s="108"/>
      <c r="Q41" s="109"/>
      <c r="R41" s="102"/>
      <c r="S41" s="102"/>
      <c r="T41" s="102"/>
      <c r="U41" s="103"/>
      <c r="V41" s="104"/>
    </row>
    <row r="42" spans="1:22" x14ac:dyDescent="0.25">
      <c r="A42" s="179" t="s">
        <v>82</v>
      </c>
      <c r="B42" s="138">
        <f>+SUM('Breakdown '!B37:D37)</f>
        <v>0</v>
      </c>
      <c r="C42" s="138">
        <f>+SUM('Breakdown '!E37:G37)</f>
        <v>842.40000000000009</v>
      </c>
      <c r="D42" s="50">
        <f>+SUM('Breakdown '!H37:J37)</f>
        <v>0</v>
      </c>
      <c r="E42" s="51">
        <f>+SUM('Breakdown '!K37:M37)</f>
        <v>0</v>
      </c>
      <c r="F42" s="231">
        <f>+SUM('Breakdown '!L37:N37)</f>
        <v>0</v>
      </c>
      <c r="G42" s="231">
        <f>+SUM('Breakdown '!M37:O37)</f>
        <v>0</v>
      </c>
      <c r="H42" s="49">
        <f>+SUM('Breakdown '!N37:P37)</f>
        <v>0</v>
      </c>
      <c r="I42" s="60">
        <f t="shared" si="1"/>
        <v>842.40000000000009</v>
      </c>
      <c r="J42" s="97">
        <f t="shared" si="5"/>
        <v>15116.4</v>
      </c>
      <c r="K42" s="98">
        <f t="shared" si="3"/>
        <v>46469</v>
      </c>
      <c r="L42" s="99">
        <f t="shared" si="2"/>
        <v>12</v>
      </c>
      <c r="M42" s="100"/>
      <c r="N42" s="101"/>
      <c r="O42" s="101"/>
      <c r="P42" s="108"/>
      <c r="Q42" s="109"/>
      <c r="R42" s="102"/>
      <c r="S42" s="102"/>
      <c r="T42" s="102"/>
      <c r="U42" s="103"/>
      <c r="V42" s="104"/>
    </row>
    <row r="43" spans="1:22" x14ac:dyDescent="0.25">
      <c r="A43" s="179" t="s">
        <v>83</v>
      </c>
      <c r="B43" s="138">
        <f>+SUM('Breakdown '!B38:D38)</f>
        <v>234</v>
      </c>
      <c r="C43" s="138">
        <f>+SUM('Breakdown '!E38:G38)</f>
        <v>327.60000000000002</v>
      </c>
      <c r="D43" s="51">
        <f>+SUM('Breakdown '!H38:J38)</f>
        <v>0</v>
      </c>
      <c r="E43" s="51">
        <f>+SUM('Breakdown '!K38:M38)</f>
        <v>0</v>
      </c>
      <c r="F43" s="231">
        <f>+SUM('Breakdown '!L38:N38)</f>
        <v>0</v>
      </c>
      <c r="G43" s="231">
        <f>+SUM('Breakdown '!M38:O38)</f>
        <v>0</v>
      </c>
      <c r="H43" s="49">
        <f>+SUM('Breakdown '!N38:P38)</f>
        <v>0</v>
      </c>
      <c r="I43" s="60">
        <f t="shared" si="1"/>
        <v>561.6</v>
      </c>
      <c r="J43" s="97">
        <f t="shared" si="5"/>
        <v>15678</v>
      </c>
      <c r="K43" s="98">
        <f t="shared" si="3"/>
        <v>46476</v>
      </c>
      <c r="L43" s="99">
        <f t="shared" si="2"/>
        <v>13</v>
      </c>
      <c r="M43" s="100"/>
      <c r="N43" s="101"/>
      <c r="O43" s="101"/>
      <c r="P43" s="108"/>
      <c r="Q43" s="109"/>
      <c r="R43" s="102"/>
      <c r="S43" s="102"/>
      <c r="T43" s="102"/>
      <c r="U43" s="103"/>
      <c r="V43" s="104"/>
    </row>
    <row r="44" spans="1:22" x14ac:dyDescent="0.25">
      <c r="A44" s="179" t="s">
        <v>84</v>
      </c>
      <c r="B44" s="138">
        <f>+SUM('Breakdown '!B39:D39)</f>
        <v>0</v>
      </c>
      <c r="C44" s="138">
        <f>+SUM('Breakdown '!E39:G39)</f>
        <v>702</v>
      </c>
      <c r="D44" s="50">
        <f>+SUM('Breakdown '!H39:J39)</f>
        <v>0</v>
      </c>
      <c r="E44" s="51">
        <f>+SUM('Breakdown '!K39:M39)</f>
        <v>187.2</v>
      </c>
      <c r="F44" s="231">
        <f>+SUM('Breakdown '!L39:N39)</f>
        <v>124.8</v>
      </c>
      <c r="G44" s="231">
        <f>+SUM('Breakdown '!M39:O39)</f>
        <v>62.4</v>
      </c>
      <c r="H44" s="49">
        <f>+SUM('Breakdown '!N39:P39)</f>
        <v>0</v>
      </c>
      <c r="I44" s="60">
        <f t="shared" si="1"/>
        <v>1076.4000000000001</v>
      </c>
      <c r="J44" s="97">
        <f t="shared" si="5"/>
        <v>16754.400000000001</v>
      </c>
      <c r="K44" s="98">
        <f t="shared" si="3"/>
        <v>46483</v>
      </c>
      <c r="L44" s="99">
        <f t="shared" si="2"/>
        <v>14</v>
      </c>
      <c r="M44" s="100"/>
      <c r="N44" s="101"/>
      <c r="O44" s="101"/>
      <c r="P44" s="108"/>
      <c r="Q44" s="109"/>
      <c r="R44" s="102"/>
      <c r="S44" s="102"/>
      <c r="T44" s="102"/>
      <c r="U44" s="103"/>
      <c r="V44" s="104"/>
    </row>
    <row r="45" spans="1:22" x14ac:dyDescent="0.25">
      <c r="A45" s="179" t="s">
        <v>85</v>
      </c>
      <c r="B45" s="138">
        <f>+SUM('Breakdown '!B40:D40)</f>
        <v>515.40000000000009</v>
      </c>
      <c r="C45" s="138">
        <f>+SUM('Breakdown '!E40:G40)</f>
        <v>0</v>
      </c>
      <c r="D45" s="50">
        <f>+SUM('Breakdown '!H40:J40)</f>
        <v>0</v>
      </c>
      <c r="E45" s="51">
        <f>+SUM('Breakdown '!K40:M40)</f>
        <v>468</v>
      </c>
      <c r="F45" s="231">
        <f>+SUM('Breakdown '!L40:N40)</f>
        <v>312</v>
      </c>
      <c r="G45" s="231">
        <f>+SUM('Breakdown '!M40:O40)</f>
        <v>156</v>
      </c>
      <c r="H45" s="49">
        <f>+SUM('Breakdown '!N40:P40)</f>
        <v>0</v>
      </c>
      <c r="I45" s="61">
        <f t="shared" si="1"/>
        <v>1451.4</v>
      </c>
      <c r="J45" s="97">
        <f t="shared" si="5"/>
        <v>18205.800000000003</v>
      </c>
      <c r="K45" s="98">
        <f t="shared" si="3"/>
        <v>46490</v>
      </c>
      <c r="L45" s="99">
        <f t="shared" si="2"/>
        <v>15</v>
      </c>
      <c r="M45" s="100"/>
      <c r="N45" s="101"/>
      <c r="O45" s="101"/>
      <c r="P45" s="108"/>
      <c r="Q45" s="109"/>
      <c r="R45" s="102"/>
      <c r="S45" s="102"/>
      <c r="T45" s="102"/>
      <c r="U45" s="103"/>
      <c r="V45" s="104"/>
    </row>
    <row r="46" spans="1:22" x14ac:dyDescent="0.25">
      <c r="A46" s="179" t="s">
        <v>86</v>
      </c>
      <c r="B46" s="138">
        <f>+SUM('Breakdown '!B41:D41)</f>
        <v>0</v>
      </c>
      <c r="C46" s="138">
        <f>+SUM('Breakdown '!E41:G41)</f>
        <v>0</v>
      </c>
      <c r="D46" s="51">
        <f>+SUM('Breakdown '!H41:J41)</f>
        <v>0</v>
      </c>
      <c r="E46" s="51">
        <f>+SUM('Breakdown '!K41:M41)</f>
        <v>842.40000000000009</v>
      </c>
      <c r="F46" s="231">
        <f>+SUM('Breakdown '!L41:N41)</f>
        <v>561.6</v>
      </c>
      <c r="G46" s="231">
        <f>+SUM('Breakdown '!M41:O41)</f>
        <v>280.8</v>
      </c>
      <c r="H46" s="49">
        <f>+SUM('Breakdown '!N41:P41)</f>
        <v>0</v>
      </c>
      <c r="I46" s="60">
        <f t="shared" si="1"/>
        <v>1684.8</v>
      </c>
      <c r="J46" s="97">
        <f t="shared" si="5"/>
        <v>19890.600000000002</v>
      </c>
      <c r="K46" s="98">
        <f t="shared" si="3"/>
        <v>46497</v>
      </c>
      <c r="L46" s="99">
        <f t="shared" si="2"/>
        <v>16</v>
      </c>
      <c r="M46" s="100"/>
      <c r="N46" s="101"/>
      <c r="O46" s="101"/>
      <c r="P46" s="108"/>
      <c r="Q46" s="109"/>
      <c r="R46" s="102"/>
      <c r="S46" s="102"/>
      <c r="T46" s="102"/>
      <c r="U46" s="103"/>
      <c r="V46" s="104"/>
    </row>
    <row r="47" spans="1:22" x14ac:dyDescent="0.25">
      <c r="A47" s="179" t="s">
        <v>87</v>
      </c>
      <c r="B47" s="138">
        <f>+SUM('Breakdown '!B42:D42)</f>
        <v>421.20000000000005</v>
      </c>
      <c r="C47" s="138">
        <f>+SUM('Breakdown '!E42:G42)</f>
        <v>0</v>
      </c>
      <c r="D47" s="51">
        <f>+SUM('Breakdown '!H42:J42)</f>
        <v>0</v>
      </c>
      <c r="E47" s="51">
        <f>+SUM('Breakdown '!K42:M42)</f>
        <v>140.39999999999998</v>
      </c>
      <c r="F47" s="231">
        <f>+SUM('Breakdown '!L42:N42)</f>
        <v>93.6</v>
      </c>
      <c r="G47" s="231">
        <f>+SUM('Breakdown '!M42:O42)</f>
        <v>46.8</v>
      </c>
      <c r="H47" s="49">
        <f>+SUM('Breakdown '!N42:P42)</f>
        <v>0</v>
      </c>
      <c r="I47" s="60">
        <f t="shared" si="1"/>
        <v>702</v>
      </c>
      <c r="J47" s="97">
        <f t="shared" si="5"/>
        <v>20592.600000000002</v>
      </c>
      <c r="K47" s="98">
        <f t="shared" si="3"/>
        <v>46504</v>
      </c>
      <c r="L47" s="99">
        <f t="shared" si="2"/>
        <v>17</v>
      </c>
      <c r="M47" s="100"/>
      <c r="N47" s="101"/>
      <c r="O47" s="101"/>
      <c r="P47" s="108"/>
      <c r="Q47" s="109"/>
      <c r="R47" s="102"/>
      <c r="S47" s="102"/>
      <c r="T47" s="102"/>
      <c r="U47" s="103"/>
      <c r="V47" s="104"/>
    </row>
    <row r="48" spans="1:22" x14ac:dyDescent="0.25">
      <c r="A48" s="179" t="s">
        <v>88</v>
      </c>
      <c r="B48" s="138">
        <f>+SUM('Breakdown '!B43:D43)</f>
        <v>0</v>
      </c>
      <c r="C48" s="138">
        <f>+SUM('Breakdown '!E43:G43)</f>
        <v>0</v>
      </c>
      <c r="D48" s="51">
        <f>+SUM('Breakdown '!H43:J43)</f>
        <v>0</v>
      </c>
      <c r="E48" s="51">
        <f>+SUM('Breakdown '!K43:M43)</f>
        <v>0</v>
      </c>
      <c r="F48" s="231">
        <f>+SUM('Breakdown '!L43:N43)</f>
        <v>0</v>
      </c>
      <c r="G48" s="231">
        <f>+SUM('Breakdown '!M43:O43)</f>
        <v>0</v>
      </c>
      <c r="H48" s="49">
        <f>+SUM('Breakdown '!N43:P43)</f>
        <v>0</v>
      </c>
      <c r="I48" s="60">
        <f t="shared" si="1"/>
        <v>0</v>
      </c>
      <c r="J48" s="97">
        <f t="shared" si="5"/>
        <v>20592.600000000002</v>
      </c>
      <c r="K48" s="98">
        <f t="shared" si="3"/>
        <v>46511</v>
      </c>
      <c r="L48" s="99">
        <f t="shared" si="2"/>
        <v>18</v>
      </c>
      <c r="M48" s="100"/>
      <c r="N48" s="101"/>
      <c r="O48" s="101"/>
      <c r="P48" s="108"/>
      <c r="Q48" s="109"/>
      <c r="R48" s="102"/>
      <c r="S48" s="102"/>
      <c r="T48" s="102"/>
      <c r="U48" s="103"/>
      <c r="V48" s="104"/>
    </row>
    <row r="49" spans="1:22" x14ac:dyDescent="0.25">
      <c r="A49" s="179" t="s">
        <v>89</v>
      </c>
      <c r="B49" s="138">
        <f>+SUM('Breakdown '!B44:D44)</f>
        <v>0</v>
      </c>
      <c r="C49" s="138">
        <f>+SUM('Breakdown '!E44:G44)</f>
        <v>0</v>
      </c>
      <c r="D49" s="51">
        <f>+SUM('Breakdown '!H44:J44)</f>
        <v>0</v>
      </c>
      <c r="E49" s="51">
        <f>+SUM('Breakdown '!K44:M44)</f>
        <v>327.60000000000002</v>
      </c>
      <c r="F49" s="231">
        <f>+SUM('Breakdown '!L44:N44)</f>
        <v>343.2</v>
      </c>
      <c r="G49" s="231">
        <f>+SUM('Breakdown '!M44:O44)</f>
        <v>358.8</v>
      </c>
      <c r="H49" s="232">
        <f>+SUM('Breakdown '!N44:P44)</f>
        <v>374.4</v>
      </c>
      <c r="I49" s="61">
        <f t="shared" si="1"/>
        <v>1404</v>
      </c>
      <c r="J49" s="97">
        <f t="shared" si="5"/>
        <v>21996.600000000002</v>
      </c>
      <c r="K49" s="98">
        <f t="shared" si="3"/>
        <v>46518</v>
      </c>
      <c r="L49" s="99">
        <f t="shared" si="2"/>
        <v>19</v>
      </c>
      <c r="M49" s="100"/>
      <c r="N49" s="101"/>
      <c r="O49" s="101"/>
      <c r="P49" s="108"/>
      <c r="Q49" s="109"/>
      <c r="R49" s="102"/>
      <c r="S49" s="102"/>
      <c r="T49" s="102"/>
      <c r="U49" s="103"/>
      <c r="V49" s="104"/>
    </row>
    <row r="50" spans="1:22" x14ac:dyDescent="0.25">
      <c r="A50" s="179" t="s">
        <v>90</v>
      </c>
      <c r="B50" s="51">
        <f>+SUM('Breakdown '!B45:D45)</f>
        <v>0</v>
      </c>
      <c r="C50" s="138">
        <f>+SUM('Breakdown '!E45:G45)</f>
        <v>421.20000000000005</v>
      </c>
      <c r="D50" s="51">
        <f>+SUM('Breakdown '!H45:J45)</f>
        <v>0</v>
      </c>
      <c r="E50" s="51">
        <f>+SUM('Breakdown '!K45:M45)</f>
        <v>280.79999999999995</v>
      </c>
      <c r="F50" s="231">
        <f>+SUM('Breakdown '!L45:N45)</f>
        <v>187.2</v>
      </c>
      <c r="G50" s="231">
        <f>+SUM('Breakdown '!M45:O45)</f>
        <v>93.6</v>
      </c>
      <c r="H50" s="49">
        <f>+SUM('Breakdown '!N45:P45)</f>
        <v>0</v>
      </c>
      <c r="I50" s="60">
        <f t="shared" si="1"/>
        <v>982.80000000000007</v>
      </c>
      <c r="J50" s="97">
        <f t="shared" ref="J50:J90" si="6">I50+J49</f>
        <v>22979.4</v>
      </c>
      <c r="K50" s="98">
        <f t="shared" si="3"/>
        <v>46525</v>
      </c>
      <c r="L50" s="99">
        <f t="shared" si="2"/>
        <v>20</v>
      </c>
      <c r="M50" s="100"/>
      <c r="N50" s="101"/>
      <c r="O50" s="101"/>
      <c r="P50" s="108"/>
      <c r="Q50" s="109"/>
      <c r="R50" s="102"/>
      <c r="S50" s="102"/>
      <c r="T50" s="102"/>
      <c r="U50" s="103"/>
      <c r="V50" s="104"/>
    </row>
    <row r="51" spans="1:22" x14ac:dyDescent="0.25">
      <c r="A51" s="179" t="s">
        <v>91</v>
      </c>
      <c r="B51" s="51">
        <f>+SUM('Breakdown '!B46:D46)</f>
        <v>0</v>
      </c>
      <c r="C51" s="138">
        <f>+SUM('Breakdown '!E46:G46)</f>
        <v>0</v>
      </c>
      <c r="D51" s="51">
        <f>+SUM('Breakdown '!H46:J46)</f>
        <v>0</v>
      </c>
      <c r="E51" s="51">
        <f>+SUM('Breakdown '!K46:M46)</f>
        <v>0</v>
      </c>
      <c r="F51" s="231">
        <f>+SUM('Breakdown '!L46:N46)</f>
        <v>156</v>
      </c>
      <c r="G51" s="231">
        <f>+SUM('Breakdown '!M46:O46)</f>
        <v>312</v>
      </c>
      <c r="H51" s="232">
        <f>+SUM('Breakdown '!N46:P46)</f>
        <v>468</v>
      </c>
      <c r="I51" s="60">
        <f t="shared" ref="I51:I82" si="7">SUM(B51:H51)</f>
        <v>936</v>
      </c>
      <c r="J51" s="97">
        <f t="shared" si="6"/>
        <v>23915.4</v>
      </c>
      <c r="K51" s="98">
        <f>K50+7</f>
        <v>46532</v>
      </c>
      <c r="L51" s="99">
        <f t="shared" si="2"/>
        <v>21</v>
      </c>
      <c r="M51" s="100"/>
      <c r="N51" s="101"/>
      <c r="O51" s="101"/>
      <c r="P51" s="108"/>
      <c r="Q51" s="109"/>
      <c r="R51" s="102"/>
      <c r="S51" s="102"/>
      <c r="T51" s="102"/>
      <c r="U51" s="103"/>
      <c r="V51" s="104"/>
    </row>
    <row r="52" spans="1:22" x14ac:dyDescent="0.25">
      <c r="A52" s="179" t="s">
        <v>92</v>
      </c>
      <c r="B52" s="51">
        <f>+SUM('Breakdown '!B47:D47)</f>
        <v>0</v>
      </c>
      <c r="C52" s="138">
        <f>+SUM('Breakdown '!E47:G47)</f>
        <v>0</v>
      </c>
      <c r="D52" s="51">
        <f>+SUM('Breakdown '!H47:J47)</f>
        <v>0</v>
      </c>
      <c r="E52" s="51">
        <f>+SUM('Breakdown '!K47:M47)</f>
        <v>421.20000000000005</v>
      </c>
      <c r="F52" s="231">
        <f>+SUM('Breakdown '!L47:N47)</f>
        <v>280.8</v>
      </c>
      <c r="G52" s="231">
        <f>+SUM('Breakdown '!M47:O47)</f>
        <v>140.4</v>
      </c>
      <c r="H52" s="49">
        <f>+SUM('Breakdown '!N47:P47)</f>
        <v>0</v>
      </c>
      <c r="I52" s="61">
        <f t="shared" si="7"/>
        <v>842.4</v>
      </c>
      <c r="J52" s="97">
        <f t="shared" si="6"/>
        <v>24757.800000000003</v>
      </c>
      <c r="K52" s="98">
        <v>45831</v>
      </c>
      <c r="L52" s="99">
        <f t="shared" ref="L52" si="8">_xlfn.ISOWEEKNUM(K52)</f>
        <v>26</v>
      </c>
      <c r="M52" s="100"/>
      <c r="N52" s="101"/>
      <c r="O52" s="101"/>
      <c r="P52" s="108"/>
      <c r="Q52" s="109"/>
      <c r="R52" s="102"/>
      <c r="S52" s="102"/>
      <c r="T52" s="102"/>
      <c r="U52" s="103"/>
      <c r="V52" s="104"/>
    </row>
    <row r="53" spans="1:22" x14ac:dyDescent="0.25">
      <c r="A53" s="179" t="s">
        <v>93</v>
      </c>
      <c r="B53" s="138">
        <f>+SUM('Breakdown '!B48:D48)</f>
        <v>561.59999999999991</v>
      </c>
      <c r="C53" s="138">
        <f>+SUM('Breakdown '!E48:G48)</f>
        <v>0</v>
      </c>
      <c r="D53" s="51">
        <f>+SUM('Breakdown '!H48:J48)</f>
        <v>0</v>
      </c>
      <c r="E53" s="51">
        <f>+SUM('Breakdown '!K48:M48)</f>
        <v>0</v>
      </c>
      <c r="F53" s="231">
        <f>+SUM('Breakdown '!L48:N48)</f>
        <v>0</v>
      </c>
      <c r="G53" s="231">
        <f>+SUM('Breakdown '!M48:O48)</f>
        <v>0</v>
      </c>
      <c r="H53" s="49">
        <f>+SUM('Breakdown '!N48:P48)</f>
        <v>0</v>
      </c>
      <c r="I53" s="61">
        <f t="shared" si="7"/>
        <v>561.59999999999991</v>
      </c>
      <c r="J53" s="97">
        <f t="shared" si="6"/>
        <v>25319.4</v>
      </c>
      <c r="K53" s="98">
        <f>K51+7</f>
        <v>46539</v>
      </c>
      <c r="L53" s="99">
        <f t="shared" si="2"/>
        <v>22</v>
      </c>
      <c r="M53" s="100"/>
      <c r="N53" s="101"/>
      <c r="O53" s="101"/>
      <c r="P53" s="108"/>
      <c r="Q53" s="109"/>
      <c r="R53" s="102"/>
      <c r="S53" s="102"/>
      <c r="T53" s="102"/>
      <c r="U53" s="103"/>
      <c r="V53" s="104"/>
    </row>
    <row r="54" spans="1:22" x14ac:dyDescent="0.25">
      <c r="A54" s="179" t="s">
        <v>94</v>
      </c>
      <c r="B54" s="138">
        <f>+SUM('Breakdown '!B49:D49)</f>
        <v>187.2</v>
      </c>
      <c r="C54" s="138">
        <f>+SUM('Breakdown '!E49:G49)</f>
        <v>93.6</v>
      </c>
      <c r="D54" s="51">
        <f>+SUM('Breakdown '!H49:J49)</f>
        <v>0</v>
      </c>
      <c r="E54" s="51">
        <f>+SUM('Breakdown '!K49:M49)</f>
        <v>46.8</v>
      </c>
      <c r="F54" s="231">
        <f>+SUM('Breakdown '!L49:N49)</f>
        <v>31.2</v>
      </c>
      <c r="G54" s="231">
        <f>+SUM('Breakdown '!M49:O49)</f>
        <v>15.6</v>
      </c>
      <c r="H54" s="49">
        <f>+SUM('Breakdown '!N49:P49)</f>
        <v>0</v>
      </c>
      <c r="I54" s="61">
        <f t="shared" si="7"/>
        <v>374.4</v>
      </c>
      <c r="J54" s="97">
        <f t="shared" si="6"/>
        <v>25693.800000000003</v>
      </c>
      <c r="K54" s="98">
        <f t="shared" si="3"/>
        <v>46546</v>
      </c>
      <c r="L54" s="99">
        <f t="shared" si="2"/>
        <v>23</v>
      </c>
      <c r="M54" s="100"/>
      <c r="N54" s="101"/>
      <c r="O54" s="101"/>
      <c r="P54" s="108"/>
      <c r="Q54" s="109"/>
      <c r="R54" s="102"/>
      <c r="S54" s="102"/>
      <c r="T54" s="102"/>
      <c r="U54" s="103"/>
      <c r="V54" s="104"/>
    </row>
    <row r="55" spans="1:22" x14ac:dyDescent="0.25">
      <c r="A55" s="179" t="s">
        <v>95</v>
      </c>
      <c r="B55" s="138">
        <f>+SUM('Breakdown '!B50:D50)</f>
        <v>0</v>
      </c>
      <c r="C55" s="138">
        <f>+SUM('Breakdown '!E50:G50)</f>
        <v>0</v>
      </c>
      <c r="D55" s="51">
        <f>+SUM('Breakdown '!H50:J50)</f>
        <v>0</v>
      </c>
      <c r="E55" s="51">
        <f>+SUM('Breakdown '!K50:M50)</f>
        <v>140.39999999999998</v>
      </c>
      <c r="F55" s="231">
        <f>+SUM('Breakdown '!L50:N50)</f>
        <v>249.6</v>
      </c>
      <c r="G55" s="231">
        <f>+SUM('Breakdown '!M50:O50)</f>
        <v>358.8</v>
      </c>
      <c r="H55" s="232">
        <f>+SUM('Breakdown '!N50:P50)</f>
        <v>468</v>
      </c>
      <c r="I55" s="60">
        <f t="shared" si="7"/>
        <v>1216.8</v>
      </c>
      <c r="J55" s="97">
        <f t="shared" si="6"/>
        <v>26910.600000000002</v>
      </c>
      <c r="K55" s="98">
        <f t="shared" si="3"/>
        <v>46553</v>
      </c>
      <c r="L55" s="99">
        <f t="shared" si="2"/>
        <v>24</v>
      </c>
      <c r="M55" s="100"/>
      <c r="N55" s="101"/>
      <c r="O55" s="101"/>
      <c r="P55" s="108"/>
      <c r="Q55" s="109"/>
      <c r="R55" s="102"/>
      <c r="S55" s="102"/>
      <c r="T55" s="102"/>
      <c r="U55" s="103"/>
      <c r="V55" s="104"/>
    </row>
    <row r="56" spans="1:22" x14ac:dyDescent="0.25">
      <c r="A56" s="179" t="s">
        <v>96</v>
      </c>
      <c r="B56" s="138">
        <f>+SUM('Breakdown '!B51:D51)</f>
        <v>0</v>
      </c>
      <c r="C56" s="138">
        <f>+SUM('Breakdown '!E51:G51)</f>
        <v>327.60000000000002</v>
      </c>
      <c r="D56" s="50">
        <f>+SUM('Breakdown '!H51:J51)</f>
        <v>0</v>
      </c>
      <c r="E56" s="51">
        <f>+SUM('Breakdown '!K51:M51)</f>
        <v>0</v>
      </c>
      <c r="F56" s="231">
        <f>+SUM('Breakdown '!L51:N51)</f>
        <v>0</v>
      </c>
      <c r="G56" s="231">
        <f>+SUM('Breakdown '!M51:O51)</f>
        <v>0</v>
      </c>
      <c r="H56" s="49">
        <f>+SUM('Breakdown '!N51:P51)</f>
        <v>0</v>
      </c>
      <c r="I56" s="61">
        <f t="shared" si="7"/>
        <v>327.60000000000002</v>
      </c>
      <c r="J56" s="97">
        <f t="shared" si="6"/>
        <v>27238.2</v>
      </c>
      <c r="K56" s="98">
        <f t="shared" si="3"/>
        <v>46560</v>
      </c>
      <c r="L56" s="99">
        <f t="shared" si="2"/>
        <v>25</v>
      </c>
      <c r="M56" s="100"/>
      <c r="N56" s="101"/>
      <c r="O56" s="101"/>
      <c r="P56" s="108"/>
      <c r="Q56" s="109"/>
      <c r="R56" s="102"/>
      <c r="S56" s="102"/>
      <c r="T56" s="102"/>
      <c r="U56" s="103"/>
      <c r="V56" s="104"/>
    </row>
    <row r="57" spans="1:22" x14ac:dyDescent="0.25">
      <c r="A57" s="179" t="s">
        <v>97</v>
      </c>
      <c r="B57" s="138">
        <f>+SUM('Breakdown '!B52:D52)</f>
        <v>0</v>
      </c>
      <c r="C57" s="138">
        <f>+SUM('Breakdown '!E52:G52)</f>
        <v>0</v>
      </c>
      <c r="D57" s="50">
        <f>+SUM('Breakdown '!H52:J52)</f>
        <v>0</v>
      </c>
      <c r="E57" s="51">
        <f>+SUM('Breakdown '!K52:M52)</f>
        <v>374.4</v>
      </c>
      <c r="F57" s="231">
        <f>+SUM('Breakdown '!L52:N52)</f>
        <v>249.6</v>
      </c>
      <c r="G57" s="231">
        <f>+SUM('Breakdown '!M52:O52)</f>
        <v>124.8</v>
      </c>
      <c r="H57" s="49">
        <f>+SUM('Breakdown '!N52:P52)</f>
        <v>0</v>
      </c>
      <c r="I57" s="60">
        <f t="shared" si="7"/>
        <v>748.8</v>
      </c>
      <c r="J57" s="97">
        <f t="shared" si="6"/>
        <v>27987</v>
      </c>
      <c r="K57" s="98">
        <f t="shared" si="3"/>
        <v>46567</v>
      </c>
      <c r="L57" s="99">
        <f t="shared" si="2"/>
        <v>26</v>
      </c>
      <c r="M57" s="100"/>
      <c r="N57" s="101"/>
      <c r="O57" s="101"/>
      <c r="P57" s="108"/>
      <c r="Q57" s="109"/>
      <c r="R57" s="102"/>
      <c r="S57" s="102"/>
      <c r="T57" s="102"/>
      <c r="U57" s="103"/>
      <c r="V57" s="104"/>
    </row>
    <row r="58" spans="1:22" x14ac:dyDescent="0.25">
      <c r="A58" s="179" t="s">
        <v>98</v>
      </c>
      <c r="B58" s="138">
        <f>+SUM('Breakdown '!B53:D53)</f>
        <v>0</v>
      </c>
      <c r="C58" s="138">
        <f>+SUM('Breakdown '!E53:G53)</f>
        <v>0</v>
      </c>
      <c r="D58" s="50">
        <f>+SUM('Breakdown '!H53:J53)</f>
        <v>0</v>
      </c>
      <c r="E58" s="51">
        <f>+SUM('Breakdown '!K53:M53)</f>
        <v>0</v>
      </c>
      <c r="F58" s="231">
        <f>+SUM('Breakdown '!L53:N53)</f>
        <v>171.6</v>
      </c>
      <c r="G58" s="231">
        <f>+SUM('Breakdown '!M53:O53)</f>
        <v>343.2</v>
      </c>
      <c r="H58" s="232">
        <f>+SUM('Breakdown '!N53:P53)</f>
        <v>514.79999999999995</v>
      </c>
      <c r="I58" s="61">
        <f t="shared" si="7"/>
        <v>1029.5999999999999</v>
      </c>
      <c r="J58" s="97">
        <f t="shared" si="6"/>
        <v>29016.6</v>
      </c>
      <c r="K58" s="98">
        <f t="shared" si="3"/>
        <v>46574</v>
      </c>
      <c r="L58" s="99">
        <f t="shared" si="2"/>
        <v>27</v>
      </c>
      <c r="M58" s="100"/>
      <c r="N58" s="101"/>
      <c r="O58" s="101"/>
      <c r="P58" s="108"/>
      <c r="Q58" s="109"/>
      <c r="R58" s="102"/>
      <c r="S58" s="102"/>
      <c r="T58" s="102"/>
      <c r="U58" s="103"/>
      <c r="V58" s="104"/>
    </row>
    <row r="59" spans="1:22" x14ac:dyDescent="0.25">
      <c r="A59" s="179" t="s">
        <v>99</v>
      </c>
      <c r="B59" s="138">
        <f>+SUM('Breakdown '!B54:D54)</f>
        <v>577.20000000000005</v>
      </c>
      <c r="C59" s="138">
        <f>+SUM('Breakdown '!E54:G54)</f>
        <v>0</v>
      </c>
      <c r="D59" s="50">
        <f>+SUM('Breakdown '!H54:J54)</f>
        <v>0</v>
      </c>
      <c r="E59" s="51">
        <f>+SUM('Breakdown '!K54:M54)</f>
        <v>0</v>
      </c>
      <c r="F59" s="231">
        <f>+SUM('Breakdown '!L54:N54)</f>
        <v>0</v>
      </c>
      <c r="G59" s="231">
        <f>+SUM('Breakdown '!M54:O54)</f>
        <v>0</v>
      </c>
      <c r="H59" s="231">
        <f>+SUM('Breakdown '!N54:P54)</f>
        <v>0</v>
      </c>
      <c r="I59" s="60">
        <f t="shared" si="7"/>
        <v>577.20000000000005</v>
      </c>
      <c r="J59" s="97">
        <f t="shared" si="6"/>
        <v>29593.8</v>
      </c>
      <c r="K59" s="98">
        <f t="shared" si="3"/>
        <v>46581</v>
      </c>
      <c r="L59" s="99">
        <f t="shared" si="2"/>
        <v>28</v>
      </c>
      <c r="M59" s="100"/>
      <c r="N59" s="101"/>
      <c r="O59" s="101"/>
      <c r="P59" s="108"/>
      <c r="Q59" s="109"/>
      <c r="R59" s="102"/>
      <c r="S59" s="102"/>
      <c r="T59" s="102"/>
      <c r="U59" s="103"/>
      <c r="V59" s="104"/>
    </row>
    <row r="60" spans="1:22" x14ac:dyDescent="0.25">
      <c r="A60" s="179" t="s">
        <v>100</v>
      </c>
      <c r="B60" s="138">
        <f>+SUM('Breakdown '!B55:D55)</f>
        <v>0</v>
      </c>
      <c r="C60" s="138">
        <f>+SUM('Breakdown '!E55:G55)</f>
        <v>0</v>
      </c>
      <c r="D60" s="50">
        <f>+SUM('Breakdown '!H55:J55)</f>
        <v>0</v>
      </c>
      <c r="E60" s="51">
        <f>+SUM('Breakdown '!K55:M55)</f>
        <v>140.39999999999998</v>
      </c>
      <c r="F60" s="231">
        <f>+SUM('Breakdown '!L55:N55)</f>
        <v>280.79999999999995</v>
      </c>
      <c r="G60" s="231">
        <f>+SUM('Breakdown '!M55:O55)</f>
        <v>421.2</v>
      </c>
      <c r="H60" s="233">
        <f>+SUM('Breakdown '!N55:P55)</f>
        <v>561.59999999999991</v>
      </c>
      <c r="I60" s="61">
        <f t="shared" si="7"/>
        <v>1403.9999999999998</v>
      </c>
      <c r="J60" s="97">
        <f t="shared" si="6"/>
        <v>30997.8</v>
      </c>
      <c r="K60" s="98">
        <f t="shared" si="3"/>
        <v>46588</v>
      </c>
      <c r="L60" s="99">
        <f t="shared" si="2"/>
        <v>29</v>
      </c>
      <c r="M60" s="100"/>
      <c r="N60" s="101"/>
      <c r="O60" s="101"/>
      <c r="P60" s="108"/>
      <c r="Q60" s="109"/>
      <c r="R60" s="102"/>
      <c r="S60" s="102"/>
      <c r="T60" s="102"/>
      <c r="U60" s="103"/>
      <c r="V60" s="104"/>
    </row>
    <row r="61" spans="1:22" x14ac:dyDescent="0.25">
      <c r="A61" s="179" t="s">
        <v>101</v>
      </c>
      <c r="B61" s="138">
        <f>+SUM('Breakdown '!B56:D56)</f>
        <v>0</v>
      </c>
      <c r="C61" s="138">
        <f>+SUM('Breakdown '!E56:G56)</f>
        <v>0</v>
      </c>
      <c r="D61" s="50">
        <f>+SUM('Breakdown '!H56:J56)</f>
        <v>0</v>
      </c>
      <c r="E61" s="51">
        <f>+SUM('Breakdown '!K56:M56)</f>
        <v>187.2</v>
      </c>
      <c r="F61" s="231">
        <f>+SUM('Breakdown '!L56:N56)</f>
        <v>124.8</v>
      </c>
      <c r="G61" s="231">
        <f>+SUM('Breakdown '!M56:O56)</f>
        <v>62.4</v>
      </c>
      <c r="H61" s="231">
        <f>+SUM('Breakdown '!N56:P56)</f>
        <v>0</v>
      </c>
      <c r="I61" s="61">
        <f t="shared" si="7"/>
        <v>374.4</v>
      </c>
      <c r="J61" s="97">
        <f t="shared" si="6"/>
        <v>31372.2</v>
      </c>
      <c r="K61" s="98">
        <f t="shared" si="3"/>
        <v>46595</v>
      </c>
      <c r="L61" s="99">
        <f t="shared" si="2"/>
        <v>30</v>
      </c>
      <c r="M61" s="100"/>
      <c r="N61" s="101"/>
      <c r="O61" s="101"/>
      <c r="P61" s="108"/>
      <c r="Q61" s="109"/>
      <c r="R61" s="102"/>
      <c r="S61" s="102"/>
      <c r="T61" s="102"/>
      <c r="U61" s="103"/>
      <c r="V61" s="104"/>
    </row>
    <row r="62" spans="1:22" x14ac:dyDescent="0.25">
      <c r="A62" s="179" t="s">
        <v>102</v>
      </c>
      <c r="B62" s="138">
        <f>+SUM('Breakdown '!B57:D57)</f>
        <v>218.4</v>
      </c>
      <c r="C62" s="138">
        <f>+SUM('Breakdown '!E57:G57)</f>
        <v>0</v>
      </c>
      <c r="D62" s="50">
        <f>+SUM('Breakdown '!H57:J57)</f>
        <v>0</v>
      </c>
      <c r="E62" s="51">
        <f>+SUM('Breakdown '!K57:M57)</f>
        <v>842.40000000000009</v>
      </c>
      <c r="F62" s="231">
        <f>+SUM('Breakdown '!L57:N57)</f>
        <v>561.6</v>
      </c>
      <c r="G62" s="231">
        <f>+SUM('Breakdown '!M57:O57)</f>
        <v>280.8</v>
      </c>
      <c r="H62" s="49">
        <f>+SUM('Breakdown '!N57:P57)</f>
        <v>0</v>
      </c>
      <c r="I62" s="60">
        <f t="shared" si="7"/>
        <v>1903.2</v>
      </c>
      <c r="J62" s="97">
        <f t="shared" si="6"/>
        <v>33275.4</v>
      </c>
      <c r="K62" s="98">
        <f t="shared" si="3"/>
        <v>46602</v>
      </c>
      <c r="L62" s="99">
        <f t="shared" si="2"/>
        <v>31</v>
      </c>
      <c r="M62" s="100"/>
      <c r="N62" s="101"/>
      <c r="O62" s="101"/>
      <c r="P62" s="108"/>
      <c r="Q62" s="109"/>
      <c r="R62" s="102"/>
      <c r="S62" s="102"/>
      <c r="T62" s="102"/>
      <c r="U62" s="103"/>
      <c r="V62" s="104"/>
    </row>
    <row r="63" spans="1:22" x14ac:dyDescent="0.25">
      <c r="A63" s="179" t="s">
        <v>103</v>
      </c>
      <c r="B63" s="138">
        <f>+SUM('Breakdown '!B58:D58)</f>
        <v>0</v>
      </c>
      <c r="C63" s="138">
        <f>+SUM('Breakdown '!E57:G57)</f>
        <v>0</v>
      </c>
      <c r="D63" s="50">
        <f>+SUM('Breakdown '!H58:J58)</f>
        <v>0</v>
      </c>
      <c r="E63" s="51">
        <f>+SUM('Breakdown '!K58:M58)</f>
        <v>468</v>
      </c>
      <c r="F63" s="231">
        <f>+SUM('Breakdown '!L58:N58)</f>
        <v>592.79999999999995</v>
      </c>
      <c r="G63" s="231">
        <f>+SUM('Breakdown '!M58:O58)</f>
        <v>717.6</v>
      </c>
      <c r="H63" s="233">
        <f>+SUM('Breakdown '!N58:P58)</f>
        <v>842.40000000000009</v>
      </c>
      <c r="I63" s="61">
        <f t="shared" si="7"/>
        <v>2620.8000000000002</v>
      </c>
      <c r="J63" s="97">
        <f t="shared" si="6"/>
        <v>35896.200000000004</v>
      </c>
      <c r="K63" s="98">
        <f t="shared" si="3"/>
        <v>46609</v>
      </c>
      <c r="L63" s="99">
        <f t="shared" si="2"/>
        <v>32</v>
      </c>
      <c r="M63" s="100"/>
      <c r="N63" s="101"/>
      <c r="O63" s="101"/>
      <c r="P63" s="108"/>
      <c r="Q63" s="109"/>
      <c r="R63" s="102"/>
      <c r="S63" s="102"/>
      <c r="T63" s="102"/>
      <c r="U63" s="103"/>
      <c r="V63" s="104"/>
    </row>
    <row r="64" spans="1:22" x14ac:dyDescent="0.25">
      <c r="A64" s="179" t="s">
        <v>104</v>
      </c>
      <c r="B64" s="138">
        <f>+SUM('Breakdown '!B59:D59)</f>
        <v>0</v>
      </c>
      <c r="C64" s="138">
        <f>+SUM('Breakdown '!E58:G58)</f>
        <v>0</v>
      </c>
      <c r="D64" s="50">
        <f>+SUM('Breakdown '!H59:J59)</f>
        <v>0</v>
      </c>
      <c r="E64" s="51">
        <f>+SUM('Breakdown '!K59:M59)</f>
        <v>468</v>
      </c>
      <c r="F64" s="231">
        <f>+SUM('Breakdown '!L59:N59)</f>
        <v>312</v>
      </c>
      <c r="G64" s="231">
        <f>+SUM('Breakdown '!M59:O59)</f>
        <v>156</v>
      </c>
      <c r="H64" s="231">
        <f>+SUM('Breakdown '!N59:P59)</f>
        <v>0</v>
      </c>
      <c r="I64" s="60">
        <f t="shared" si="7"/>
        <v>936</v>
      </c>
      <c r="J64" s="97">
        <f t="shared" si="6"/>
        <v>36832.200000000004</v>
      </c>
      <c r="K64" s="98">
        <f t="shared" si="3"/>
        <v>46616</v>
      </c>
      <c r="L64" s="99">
        <f t="shared" si="2"/>
        <v>33</v>
      </c>
      <c r="M64" s="100"/>
      <c r="N64" s="101"/>
      <c r="O64" s="101"/>
      <c r="P64" s="108"/>
      <c r="Q64" s="109"/>
      <c r="R64" s="102"/>
      <c r="S64" s="102"/>
      <c r="T64" s="102"/>
      <c r="U64" s="103"/>
      <c r="V64" s="104"/>
    </row>
    <row r="65" spans="1:22" x14ac:dyDescent="0.25">
      <c r="A65" s="179" t="s">
        <v>105</v>
      </c>
      <c r="B65" s="138">
        <f>+SUM('Breakdown '!B60:D60)</f>
        <v>0</v>
      </c>
      <c r="C65" s="138">
        <f>+SUM('Breakdown '!E59:G59)</f>
        <v>0</v>
      </c>
      <c r="D65" s="50">
        <f>+SUM('Breakdown '!H60:J60)</f>
        <v>0</v>
      </c>
      <c r="E65" s="51">
        <f>+SUM('Breakdown '!K60:M60)</f>
        <v>0</v>
      </c>
      <c r="F65" s="231">
        <f>+SUM('Breakdown '!L60:N60)</f>
        <v>312</v>
      </c>
      <c r="G65" s="231">
        <f>+SUM('Breakdown '!M60:O60)</f>
        <v>624</v>
      </c>
      <c r="H65" s="233">
        <f>+SUM('Breakdown '!N60:P60)</f>
        <v>936</v>
      </c>
      <c r="I65" s="61">
        <f t="shared" si="7"/>
        <v>1872</v>
      </c>
      <c r="J65" s="97">
        <f t="shared" si="6"/>
        <v>38704.200000000004</v>
      </c>
      <c r="K65" s="98">
        <f t="shared" si="3"/>
        <v>46623</v>
      </c>
      <c r="L65" s="99">
        <f t="shared" si="2"/>
        <v>34</v>
      </c>
      <c r="M65" s="100"/>
      <c r="N65" s="101"/>
      <c r="O65" s="101"/>
      <c r="P65" s="108"/>
      <c r="Q65" s="109"/>
      <c r="R65" s="102"/>
      <c r="S65" s="102"/>
      <c r="T65" s="102"/>
      <c r="U65" s="103"/>
      <c r="V65" s="104"/>
    </row>
    <row r="66" spans="1:22" x14ac:dyDescent="0.25">
      <c r="A66" s="179" t="s">
        <v>106</v>
      </c>
      <c r="B66" s="138">
        <f>+SUM('Breakdown '!B61:D61)</f>
        <v>0</v>
      </c>
      <c r="C66" s="138">
        <f>+SUM('Breakdown '!E60:G60)</f>
        <v>0</v>
      </c>
      <c r="D66" s="50">
        <f>+SUM('Breakdown '!H61:J61)</f>
        <v>0</v>
      </c>
      <c r="E66" s="51">
        <f>+SUM('Breakdown '!K61:M61)</f>
        <v>93.6</v>
      </c>
      <c r="F66" s="231">
        <f>+SUM('Breakdown '!L61:N61)</f>
        <v>374.4</v>
      </c>
      <c r="G66" s="231">
        <f>+SUM('Breakdown '!M61:O61)</f>
        <v>655.20000000000005</v>
      </c>
      <c r="H66" s="233">
        <f>+SUM('Breakdown '!N61:P61)</f>
        <v>936</v>
      </c>
      <c r="I66" s="61">
        <f t="shared" si="7"/>
        <v>2059.1999999999998</v>
      </c>
      <c r="J66" s="97">
        <f t="shared" si="6"/>
        <v>40763.4</v>
      </c>
      <c r="K66" s="98">
        <f t="shared" si="3"/>
        <v>46630</v>
      </c>
      <c r="L66" s="99">
        <f t="shared" si="2"/>
        <v>35</v>
      </c>
      <c r="M66" s="100"/>
      <c r="N66" s="101"/>
      <c r="O66" s="101"/>
      <c r="P66" s="105"/>
      <c r="Q66" s="102"/>
      <c r="R66" s="102"/>
      <c r="S66" s="102"/>
      <c r="T66" s="102"/>
      <c r="U66" s="103"/>
      <c r="V66" s="104"/>
    </row>
    <row r="67" spans="1:22" x14ac:dyDescent="0.25">
      <c r="A67" s="179" t="s">
        <v>107</v>
      </c>
      <c r="B67" s="138">
        <f>+SUM('Breakdown '!B62:D62)</f>
        <v>0</v>
      </c>
      <c r="C67" s="138">
        <f>+SUM('Breakdown '!E61:G61)</f>
        <v>0</v>
      </c>
      <c r="D67" s="50">
        <f>+SUM('Breakdown '!H62:J62)</f>
        <v>0</v>
      </c>
      <c r="E67" s="50">
        <f>+SUM('Breakdown '!K62:M62)</f>
        <v>0</v>
      </c>
      <c r="F67" s="49">
        <f>+SUM('Breakdown '!L62:N62)</f>
        <v>343.2</v>
      </c>
      <c r="G67" s="49">
        <f>+SUM('Breakdown '!M62:O62)</f>
        <v>686.4</v>
      </c>
      <c r="H67" s="233">
        <f>+SUM('Breakdown '!N62:P62)</f>
        <v>1029.5999999999999</v>
      </c>
      <c r="I67" s="61">
        <f t="shared" si="7"/>
        <v>2059.1999999999998</v>
      </c>
      <c r="J67" s="97">
        <f t="shared" si="6"/>
        <v>42822.6</v>
      </c>
      <c r="K67" s="98">
        <f t="shared" si="3"/>
        <v>46637</v>
      </c>
      <c r="L67" s="99">
        <f t="shared" si="2"/>
        <v>36</v>
      </c>
      <c r="M67" s="100"/>
      <c r="N67" s="101"/>
      <c r="O67" s="101"/>
      <c r="P67" s="105"/>
      <c r="Q67" s="102"/>
      <c r="R67" s="102"/>
      <c r="S67" s="102"/>
      <c r="T67" s="102"/>
      <c r="U67" s="103"/>
      <c r="V67" s="104"/>
    </row>
    <row r="68" spans="1:22" x14ac:dyDescent="0.25">
      <c r="A68" s="179" t="s">
        <v>108</v>
      </c>
      <c r="B68" s="138">
        <f>+SUM('Breakdown '!B63:D63)</f>
        <v>0</v>
      </c>
      <c r="C68" s="138">
        <f>+SUM('Breakdown '!E62:G62)</f>
        <v>0</v>
      </c>
      <c r="D68" s="50">
        <f>+SUM('Breakdown '!H63:J63)</f>
        <v>0</v>
      </c>
      <c r="E68" s="50">
        <f>+SUM('Breakdown '!K62:M62)</f>
        <v>0</v>
      </c>
      <c r="F68" s="49">
        <f>+SUM('Breakdown '!L63:N63)</f>
        <v>0</v>
      </c>
      <c r="G68" s="49">
        <f>+SUM('Breakdown '!M63:O63)</f>
        <v>0</v>
      </c>
      <c r="H68" s="231">
        <f>+SUM('Breakdown '!N63:P63)</f>
        <v>0</v>
      </c>
      <c r="I68" s="61">
        <f t="shared" si="7"/>
        <v>0</v>
      </c>
      <c r="J68" s="97">
        <f t="shared" si="6"/>
        <v>42822.6</v>
      </c>
      <c r="K68" s="98">
        <f t="shared" si="3"/>
        <v>46644</v>
      </c>
      <c r="L68" s="99">
        <f t="shared" si="2"/>
        <v>37</v>
      </c>
      <c r="M68" s="100"/>
      <c r="N68" s="101"/>
      <c r="O68" s="101"/>
      <c r="P68" s="105"/>
      <c r="Q68" s="102"/>
      <c r="R68" s="102"/>
      <c r="S68" s="102"/>
      <c r="T68" s="102"/>
      <c r="U68" s="103"/>
      <c r="V68" s="104"/>
    </row>
    <row r="69" spans="1:22" x14ac:dyDescent="0.25">
      <c r="A69" s="179" t="s">
        <v>109</v>
      </c>
      <c r="B69" s="138">
        <f>+SUM('Breakdown '!B64:D64)</f>
        <v>0</v>
      </c>
      <c r="C69" s="138">
        <f>+SUM('Breakdown '!E63:G63)</f>
        <v>0</v>
      </c>
      <c r="D69" s="50">
        <f>+SUM('Breakdown '!H64:J64)</f>
        <v>0</v>
      </c>
      <c r="E69" s="50">
        <f>+SUM('Breakdown '!K63:M63)</f>
        <v>0</v>
      </c>
      <c r="F69" s="49">
        <f>+SUM('Breakdown '!L64:N64)</f>
        <v>0</v>
      </c>
      <c r="G69" s="49">
        <f>+SUM('Breakdown '!M64:O64)</f>
        <v>0</v>
      </c>
      <c r="H69" s="231">
        <f>+SUM('Breakdown '!N64:P64)</f>
        <v>0</v>
      </c>
      <c r="I69" s="61">
        <f t="shared" si="7"/>
        <v>0</v>
      </c>
      <c r="J69" s="97">
        <f t="shared" si="6"/>
        <v>42822.6</v>
      </c>
      <c r="K69" s="98">
        <f t="shared" si="3"/>
        <v>46651</v>
      </c>
      <c r="L69" s="99">
        <f t="shared" si="2"/>
        <v>38</v>
      </c>
      <c r="M69" s="100"/>
      <c r="N69" s="101"/>
      <c r="O69" s="101"/>
      <c r="P69" s="105"/>
      <c r="Q69" s="102"/>
      <c r="R69" s="102"/>
      <c r="S69" s="102"/>
      <c r="T69" s="102"/>
      <c r="U69" s="103"/>
      <c r="V69" s="104"/>
    </row>
    <row r="70" spans="1:22" x14ac:dyDescent="0.25">
      <c r="A70" s="179" t="s">
        <v>110</v>
      </c>
      <c r="B70" s="138">
        <f>+SUM('Breakdown '!B65:D65)</f>
        <v>0</v>
      </c>
      <c r="C70" s="138">
        <f>+SUM('Breakdown '!E64:G64)</f>
        <v>0</v>
      </c>
      <c r="D70" s="50">
        <f>+SUM('Breakdown '!H65:J65)</f>
        <v>0</v>
      </c>
      <c r="E70" s="50">
        <f>+SUM('Breakdown '!K64:M64)</f>
        <v>0</v>
      </c>
      <c r="F70" s="49">
        <f>+SUM('Breakdown '!L65:N65)</f>
        <v>0</v>
      </c>
      <c r="G70" s="49">
        <f>+SUM('Breakdown '!M65:O65)</f>
        <v>0</v>
      </c>
      <c r="H70" s="231">
        <f>+SUM('Breakdown '!N65:P65)</f>
        <v>0</v>
      </c>
      <c r="I70" s="61">
        <f t="shared" si="7"/>
        <v>0</v>
      </c>
      <c r="J70" s="97">
        <f t="shared" si="6"/>
        <v>42822.6</v>
      </c>
      <c r="K70" s="98">
        <f t="shared" si="3"/>
        <v>46658</v>
      </c>
      <c r="L70" s="99">
        <f t="shared" si="2"/>
        <v>39</v>
      </c>
      <c r="M70" s="100"/>
      <c r="N70" s="101"/>
      <c r="O70" s="101"/>
      <c r="P70" s="105"/>
      <c r="Q70" s="102"/>
      <c r="R70" s="102"/>
      <c r="S70" s="102"/>
      <c r="T70" s="102"/>
      <c r="U70" s="103"/>
      <c r="V70" s="104"/>
    </row>
    <row r="71" spans="1:22" x14ac:dyDescent="0.25">
      <c r="A71" s="179" t="s">
        <v>111</v>
      </c>
      <c r="B71" s="51">
        <f>+SUM('Breakdown '!B66:D66)</f>
        <v>0</v>
      </c>
      <c r="C71" s="138">
        <f>+SUM('Breakdown '!E65:G65)</f>
        <v>0</v>
      </c>
      <c r="D71" s="50">
        <f>+SUM('Breakdown '!H66:J66)</f>
        <v>0</v>
      </c>
      <c r="E71" s="50">
        <f>+SUM('Breakdown '!K65:M65)</f>
        <v>0</v>
      </c>
      <c r="F71" s="49">
        <f>+SUM('Breakdown '!L66:N66)</f>
        <v>0</v>
      </c>
      <c r="G71" s="49">
        <f>+SUM('Breakdown '!M66:O66)</f>
        <v>0</v>
      </c>
      <c r="H71" s="231">
        <f>+SUM('Breakdown '!N66:P66)</f>
        <v>0</v>
      </c>
      <c r="I71" s="61">
        <f t="shared" si="7"/>
        <v>0</v>
      </c>
      <c r="J71" s="97">
        <f t="shared" si="6"/>
        <v>42822.6</v>
      </c>
      <c r="K71" s="98">
        <f t="shared" si="3"/>
        <v>46665</v>
      </c>
      <c r="L71" s="99">
        <f t="shared" si="2"/>
        <v>40</v>
      </c>
      <c r="M71" s="100"/>
      <c r="N71" s="101"/>
      <c r="O71" s="101"/>
      <c r="P71" s="102"/>
      <c r="Q71" s="102"/>
      <c r="R71" s="102"/>
      <c r="S71" s="102"/>
      <c r="T71" s="102"/>
      <c r="U71" s="103"/>
      <c r="V71" s="104"/>
    </row>
    <row r="72" spans="1:22" x14ac:dyDescent="0.25">
      <c r="A72" s="179" t="s">
        <v>112</v>
      </c>
      <c r="B72" s="51">
        <f>+SUM('Breakdown '!B67:D67)</f>
        <v>0</v>
      </c>
      <c r="C72" s="51">
        <f>+SUM('Breakdown '!E66:G66)</f>
        <v>0</v>
      </c>
      <c r="D72" s="50">
        <f>+SUM('Breakdown '!H67:J67)</f>
        <v>0</v>
      </c>
      <c r="E72" s="50">
        <f>+SUM('Breakdown '!K66:M66)</f>
        <v>0</v>
      </c>
      <c r="F72" s="49">
        <f>+SUM('Breakdown '!L67:N67)</f>
        <v>0</v>
      </c>
      <c r="G72" s="49">
        <f>+SUM('Breakdown '!M67:O67)</f>
        <v>0</v>
      </c>
      <c r="H72" s="231">
        <f>+SUM('Breakdown '!N67:P67)</f>
        <v>0</v>
      </c>
      <c r="I72" s="60">
        <f t="shared" si="7"/>
        <v>0</v>
      </c>
      <c r="J72" s="97">
        <f t="shared" si="6"/>
        <v>42822.6</v>
      </c>
      <c r="K72" s="98">
        <f t="shared" si="3"/>
        <v>46672</v>
      </c>
      <c r="L72" s="99">
        <f t="shared" si="2"/>
        <v>41</v>
      </c>
      <c r="M72" s="100"/>
      <c r="N72" s="101"/>
      <c r="O72" s="101"/>
      <c r="P72" s="102"/>
      <c r="Q72" s="102"/>
      <c r="R72" s="102"/>
      <c r="S72" s="102"/>
      <c r="T72" s="102"/>
      <c r="U72" s="103"/>
      <c r="V72" s="104"/>
    </row>
    <row r="73" spans="1:22" x14ac:dyDescent="0.25">
      <c r="A73" s="179" t="s">
        <v>113</v>
      </c>
      <c r="B73" s="51">
        <f>+SUM('Breakdown '!B68:D68)</f>
        <v>0</v>
      </c>
      <c r="C73" s="51">
        <f>+SUM('Breakdown '!E67:G67)</f>
        <v>0</v>
      </c>
      <c r="D73" s="50">
        <f>+SUM('Breakdown '!H68:J68)</f>
        <v>0</v>
      </c>
      <c r="E73" s="50">
        <f>+SUM('Breakdown '!K67:M67)</f>
        <v>0</v>
      </c>
      <c r="F73" s="49">
        <f>+SUM('Breakdown '!L68:N68)</f>
        <v>0</v>
      </c>
      <c r="G73" s="49">
        <f>+SUM('Breakdown '!M68:O68)</f>
        <v>0</v>
      </c>
      <c r="H73" s="231">
        <f>+SUM('Breakdown '!N68:P68)</f>
        <v>0</v>
      </c>
      <c r="I73" s="61">
        <f t="shared" si="7"/>
        <v>0</v>
      </c>
      <c r="J73" s="97">
        <f t="shared" si="6"/>
        <v>42822.6</v>
      </c>
      <c r="K73" s="98">
        <f t="shared" si="3"/>
        <v>46679</v>
      </c>
      <c r="L73" s="99">
        <f t="shared" si="2"/>
        <v>42</v>
      </c>
      <c r="M73" s="100"/>
      <c r="N73" s="101"/>
      <c r="O73" s="101"/>
      <c r="P73" s="102"/>
      <c r="Q73" s="102"/>
      <c r="R73" s="102"/>
      <c r="S73" s="102"/>
      <c r="T73" s="102"/>
      <c r="U73" s="103"/>
      <c r="V73" s="104"/>
    </row>
    <row r="74" spans="1:22" x14ac:dyDescent="0.25">
      <c r="A74" s="179" t="s">
        <v>114</v>
      </c>
      <c r="B74" s="51">
        <f>+SUM('Breakdown '!B69:D69)</f>
        <v>0</v>
      </c>
      <c r="C74" s="51">
        <f>+SUM('Breakdown '!E68:G68)</f>
        <v>0</v>
      </c>
      <c r="D74" s="50">
        <f>+SUM('Breakdown '!H69:J69)</f>
        <v>0</v>
      </c>
      <c r="E74" s="50">
        <f>+SUM('Breakdown '!K68:M68)</f>
        <v>0</v>
      </c>
      <c r="F74" s="49">
        <f>+SUM('Breakdown '!L69:N69)</f>
        <v>0</v>
      </c>
      <c r="G74" s="49">
        <f>+SUM('Breakdown '!M69:O69)</f>
        <v>0</v>
      </c>
      <c r="H74" s="231">
        <f>+SUM('Breakdown '!N69:P69)</f>
        <v>0</v>
      </c>
      <c r="I74" s="61">
        <f t="shared" si="7"/>
        <v>0</v>
      </c>
      <c r="J74" s="97">
        <f t="shared" si="6"/>
        <v>42822.6</v>
      </c>
      <c r="K74" s="98">
        <f t="shared" si="3"/>
        <v>46686</v>
      </c>
      <c r="L74" s="99">
        <f t="shared" si="2"/>
        <v>43</v>
      </c>
      <c r="M74" s="100"/>
      <c r="N74" s="101"/>
      <c r="O74" s="101"/>
      <c r="P74" s="102"/>
      <c r="Q74" s="102"/>
      <c r="R74" s="102"/>
      <c r="S74" s="102"/>
      <c r="T74" s="102"/>
      <c r="U74" s="103"/>
      <c r="V74" s="104"/>
    </row>
    <row r="75" spans="1:22" x14ac:dyDescent="0.25">
      <c r="A75" s="179" t="s">
        <v>115</v>
      </c>
      <c r="B75" s="51">
        <f>+SUM('Breakdown '!B70:D70)</f>
        <v>0</v>
      </c>
      <c r="C75" s="51">
        <f>+SUM('Breakdown '!E69:G69)</f>
        <v>0</v>
      </c>
      <c r="D75" s="50">
        <f>+SUM('Breakdown '!H70:J70)</f>
        <v>0</v>
      </c>
      <c r="E75" s="50">
        <f>+SUM('Breakdown '!K69:M69)</f>
        <v>0</v>
      </c>
      <c r="F75" s="49">
        <f>+SUM('Breakdown '!L70:N70)</f>
        <v>0</v>
      </c>
      <c r="G75" s="49">
        <f>+SUM('Breakdown '!M70:O70)</f>
        <v>0</v>
      </c>
      <c r="H75" s="231">
        <f>+SUM('Breakdown '!N70:P70)</f>
        <v>0</v>
      </c>
      <c r="I75" s="60">
        <f t="shared" si="7"/>
        <v>0</v>
      </c>
      <c r="J75" s="97">
        <f t="shared" si="6"/>
        <v>42822.6</v>
      </c>
      <c r="K75" s="98">
        <f t="shared" si="3"/>
        <v>46693</v>
      </c>
      <c r="L75" s="99">
        <f t="shared" si="2"/>
        <v>44</v>
      </c>
      <c r="M75" s="100"/>
      <c r="N75" s="101"/>
      <c r="O75" s="101"/>
      <c r="P75" s="102"/>
      <c r="Q75" s="102"/>
      <c r="R75" s="102"/>
      <c r="S75" s="102"/>
      <c r="T75" s="102"/>
      <c r="U75" s="103"/>
      <c r="V75" s="104"/>
    </row>
    <row r="76" spans="1:22" x14ac:dyDescent="0.25">
      <c r="A76" s="179" t="s">
        <v>116</v>
      </c>
      <c r="B76" s="51">
        <f>+SUM('Breakdown '!B71:D71)</f>
        <v>0</v>
      </c>
      <c r="C76" s="51">
        <f>+SUM('Breakdown '!E70:G70)</f>
        <v>0</v>
      </c>
      <c r="D76" s="50">
        <f>+SUM('Breakdown '!H71:J71)</f>
        <v>0</v>
      </c>
      <c r="E76" s="50">
        <f>+SUM('Breakdown '!K70:M70)</f>
        <v>0</v>
      </c>
      <c r="F76" s="49">
        <f>+SUM('Breakdown '!L71:N71)</f>
        <v>0</v>
      </c>
      <c r="G76" s="49">
        <f>+SUM('Breakdown '!M71:O71)</f>
        <v>0</v>
      </c>
      <c r="H76" s="231">
        <f>+SUM('Breakdown '!N71:P71)</f>
        <v>0</v>
      </c>
      <c r="I76" s="60">
        <f t="shared" si="7"/>
        <v>0</v>
      </c>
      <c r="J76" s="97">
        <f t="shared" si="6"/>
        <v>42822.6</v>
      </c>
      <c r="K76" s="98">
        <f t="shared" si="3"/>
        <v>46700</v>
      </c>
      <c r="L76" s="99">
        <f t="shared" si="2"/>
        <v>45</v>
      </c>
      <c r="M76" s="100"/>
      <c r="N76" s="101"/>
      <c r="O76" s="101"/>
      <c r="P76" s="102"/>
      <c r="Q76" s="102"/>
      <c r="R76" s="102"/>
      <c r="S76" s="102"/>
      <c r="T76" s="102"/>
      <c r="U76" s="103"/>
      <c r="V76" s="104"/>
    </row>
    <row r="77" spans="1:22" x14ac:dyDescent="0.25">
      <c r="A77" s="179" t="s">
        <v>117</v>
      </c>
      <c r="B77" s="51">
        <f>+SUM('Breakdown '!B72:D72)</f>
        <v>0</v>
      </c>
      <c r="C77" s="51">
        <f>+SUM('Breakdown '!E71:G71)</f>
        <v>0</v>
      </c>
      <c r="D77" s="50">
        <f>+SUM('Breakdown '!H72:J72)</f>
        <v>0</v>
      </c>
      <c r="E77" s="50">
        <f>+SUM('Breakdown '!K71:M71)</f>
        <v>0</v>
      </c>
      <c r="F77" s="49">
        <f>+SUM('Breakdown '!L72:N72)</f>
        <v>0</v>
      </c>
      <c r="G77" s="49">
        <f>+SUM('Breakdown '!M72:O72)</f>
        <v>0</v>
      </c>
      <c r="H77" s="231">
        <f>+SUM('Breakdown '!N72:P72)</f>
        <v>0</v>
      </c>
      <c r="I77" s="60">
        <f t="shared" si="7"/>
        <v>0</v>
      </c>
      <c r="J77" s="97">
        <f t="shared" si="6"/>
        <v>42822.6</v>
      </c>
      <c r="K77" s="98">
        <f t="shared" si="3"/>
        <v>46707</v>
      </c>
      <c r="L77" s="99">
        <f t="shared" si="2"/>
        <v>46</v>
      </c>
      <c r="M77" s="100"/>
      <c r="N77" s="101"/>
      <c r="O77" s="101"/>
      <c r="P77" s="102"/>
      <c r="Q77" s="102"/>
      <c r="R77" s="102"/>
      <c r="S77" s="102"/>
      <c r="T77" s="102"/>
      <c r="U77" s="103"/>
      <c r="V77" s="104"/>
    </row>
    <row r="78" spans="1:22" x14ac:dyDescent="0.25">
      <c r="A78" s="179" t="s">
        <v>118</v>
      </c>
      <c r="B78" s="51">
        <f>+SUM('Breakdown '!B73:D73)</f>
        <v>0</v>
      </c>
      <c r="C78" s="51">
        <f>+SUM('Breakdown '!E72:G72)</f>
        <v>0</v>
      </c>
      <c r="D78" s="50">
        <f>+SUM('Breakdown '!H73:J73)</f>
        <v>0</v>
      </c>
      <c r="E78" s="50">
        <f>+SUM('Breakdown '!K72:M72)</f>
        <v>0</v>
      </c>
      <c r="F78" s="49">
        <f>+SUM('Breakdown '!L73:N73)</f>
        <v>0</v>
      </c>
      <c r="G78" s="49">
        <f>+SUM('Breakdown '!M73:O73)</f>
        <v>0</v>
      </c>
      <c r="H78" s="231">
        <f>+SUM('Breakdown '!N73:P73)</f>
        <v>0</v>
      </c>
      <c r="I78" s="60">
        <f t="shared" si="7"/>
        <v>0</v>
      </c>
      <c r="J78" s="97">
        <f t="shared" si="6"/>
        <v>42822.6</v>
      </c>
      <c r="K78" s="98">
        <f t="shared" si="3"/>
        <v>46714</v>
      </c>
      <c r="L78" s="99">
        <f t="shared" si="2"/>
        <v>47</v>
      </c>
      <c r="M78" s="100"/>
      <c r="N78" s="101"/>
      <c r="O78" s="101"/>
      <c r="P78" s="102"/>
      <c r="Q78" s="102"/>
      <c r="R78" s="102"/>
      <c r="S78" s="102"/>
      <c r="T78" s="102"/>
      <c r="U78" s="103"/>
      <c r="V78" s="104"/>
    </row>
    <row r="79" spans="1:22" x14ac:dyDescent="0.25">
      <c r="A79" s="179" t="s">
        <v>119</v>
      </c>
      <c r="B79" s="51">
        <f>+SUM('Breakdown '!B74:D74)</f>
        <v>0</v>
      </c>
      <c r="C79" s="51">
        <f>+SUM('Breakdown '!E73:G73)</f>
        <v>0</v>
      </c>
      <c r="D79" s="50">
        <f>+SUM('Breakdown '!H74:J74)</f>
        <v>0</v>
      </c>
      <c r="E79" s="50">
        <f>+SUM('Breakdown '!K73:M73)</f>
        <v>0</v>
      </c>
      <c r="F79" s="49">
        <f>+SUM('Breakdown '!L74:N74)</f>
        <v>0</v>
      </c>
      <c r="G79" s="49">
        <f>+SUM('Breakdown '!M74:O74)</f>
        <v>0</v>
      </c>
      <c r="H79" s="231">
        <f>+SUM('Breakdown '!N74:P74)</f>
        <v>0</v>
      </c>
      <c r="I79" s="60">
        <f t="shared" si="7"/>
        <v>0</v>
      </c>
      <c r="J79" s="97">
        <f t="shared" si="6"/>
        <v>42822.6</v>
      </c>
      <c r="K79" s="98">
        <f t="shared" si="3"/>
        <v>46721</v>
      </c>
      <c r="L79" s="99">
        <f t="shared" si="2"/>
        <v>48</v>
      </c>
      <c r="M79" s="100"/>
      <c r="N79" s="101"/>
      <c r="O79" s="101"/>
      <c r="P79" s="102"/>
      <c r="Q79" s="102"/>
      <c r="R79" s="102"/>
      <c r="S79" s="102"/>
      <c r="T79" s="102"/>
      <c r="U79" s="103"/>
      <c r="V79" s="104"/>
    </row>
    <row r="80" spans="1:22" x14ac:dyDescent="0.25">
      <c r="A80" s="179" t="s">
        <v>120</v>
      </c>
      <c r="B80" s="51">
        <f>+SUM('Breakdown '!B75:D75)</f>
        <v>0</v>
      </c>
      <c r="C80" s="51">
        <f>+SUM('Breakdown '!E74:G74)</f>
        <v>0</v>
      </c>
      <c r="D80" s="50">
        <f>+SUM('Breakdown '!H75:J75)</f>
        <v>0</v>
      </c>
      <c r="E80" s="50">
        <f>+SUM('Breakdown '!K74:M74)</f>
        <v>0</v>
      </c>
      <c r="F80" s="49">
        <f>+SUM('Breakdown '!L75:N75)</f>
        <v>0</v>
      </c>
      <c r="G80" s="49">
        <f>+SUM('Breakdown '!M75:O75)</f>
        <v>0</v>
      </c>
      <c r="H80" s="231">
        <f>+SUM('Breakdown '!N75:P75)</f>
        <v>0</v>
      </c>
      <c r="I80" s="59">
        <f t="shared" si="7"/>
        <v>0</v>
      </c>
      <c r="J80" s="97">
        <f t="shared" si="6"/>
        <v>42822.6</v>
      </c>
      <c r="K80" s="98">
        <f t="shared" si="3"/>
        <v>46728</v>
      </c>
      <c r="L80" s="99">
        <f t="shared" si="2"/>
        <v>49</v>
      </c>
      <c r="M80" s="100"/>
      <c r="N80" s="101"/>
      <c r="O80" s="101"/>
      <c r="P80" s="102"/>
      <c r="Q80" s="102"/>
      <c r="R80" s="102"/>
      <c r="S80" s="102"/>
      <c r="T80" s="102"/>
      <c r="U80" s="103"/>
      <c r="V80" s="104"/>
    </row>
    <row r="81" spans="1:22" x14ac:dyDescent="0.25">
      <c r="A81" s="179" t="s">
        <v>121</v>
      </c>
      <c r="B81" s="51">
        <f>+SUM('Breakdown '!B76:D76)</f>
        <v>0</v>
      </c>
      <c r="C81" s="51">
        <f>+SUM('Breakdown '!E75:G75)</f>
        <v>0</v>
      </c>
      <c r="D81" s="50">
        <f>+SUM('Breakdown '!H76:J76)</f>
        <v>0</v>
      </c>
      <c r="E81" s="50">
        <f>+SUM('Breakdown '!K75:M75)</f>
        <v>0</v>
      </c>
      <c r="F81" s="49">
        <f>+SUM('Breakdown '!L76:N76)</f>
        <v>0</v>
      </c>
      <c r="G81" s="49">
        <f>+SUM('Breakdown '!M76:O76)</f>
        <v>0</v>
      </c>
      <c r="H81" s="231">
        <f>+SUM('Breakdown '!N76:P76)</f>
        <v>0</v>
      </c>
      <c r="I81" s="59">
        <f t="shared" si="7"/>
        <v>0</v>
      </c>
      <c r="J81" s="97">
        <f t="shared" si="6"/>
        <v>42822.6</v>
      </c>
      <c r="K81" s="98">
        <f t="shared" si="3"/>
        <v>46735</v>
      </c>
      <c r="L81" s="99">
        <f t="shared" si="2"/>
        <v>50</v>
      </c>
      <c r="M81" s="100"/>
      <c r="N81" s="101"/>
      <c r="O81" s="101"/>
      <c r="P81" s="102"/>
      <c r="Q81" s="102"/>
      <c r="R81" s="102"/>
      <c r="S81" s="102"/>
      <c r="T81" s="102"/>
      <c r="U81" s="103"/>
      <c r="V81" s="104"/>
    </row>
    <row r="82" spans="1:22" x14ac:dyDescent="0.25">
      <c r="A82" s="179" t="s">
        <v>122</v>
      </c>
      <c r="B82" s="51">
        <f>+SUM('Breakdown '!B77:D77)</f>
        <v>0</v>
      </c>
      <c r="C82" s="51">
        <f>+SUM('Breakdown '!E76:G76)</f>
        <v>0</v>
      </c>
      <c r="D82" s="50">
        <f>+SUM('Breakdown '!H77:J77)</f>
        <v>0</v>
      </c>
      <c r="E82" s="50">
        <f>+SUM('Breakdown '!K76:M76)</f>
        <v>0</v>
      </c>
      <c r="F82" s="49">
        <f>+SUM('Breakdown '!L77:N77)</f>
        <v>0</v>
      </c>
      <c r="G82" s="49">
        <f>+SUM('Breakdown '!M77:O77)</f>
        <v>0</v>
      </c>
      <c r="H82" s="231">
        <f>+SUM('Breakdown '!N77:P77)</f>
        <v>0</v>
      </c>
      <c r="I82" s="59">
        <f t="shared" si="7"/>
        <v>0</v>
      </c>
      <c r="J82" s="97">
        <f t="shared" si="6"/>
        <v>42822.6</v>
      </c>
      <c r="K82" s="98">
        <f t="shared" si="3"/>
        <v>46742</v>
      </c>
      <c r="L82" s="99">
        <f t="shared" si="2"/>
        <v>51</v>
      </c>
      <c r="M82" s="100"/>
      <c r="N82" s="101"/>
      <c r="O82" s="101"/>
      <c r="P82" s="102"/>
      <c r="Q82" s="102"/>
      <c r="R82" s="102"/>
      <c r="S82" s="102"/>
      <c r="T82" s="102"/>
      <c r="U82" s="103"/>
      <c r="V82" s="104"/>
    </row>
    <row r="83" spans="1:22" x14ac:dyDescent="0.25">
      <c r="A83" s="179" t="s">
        <v>138</v>
      </c>
      <c r="B83" s="51">
        <f>+SUM('Breakdown '!B78:D78)</f>
        <v>0</v>
      </c>
      <c r="C83" s="51">
        <f>+SUM('Breakdown '!E77:G77)</f>
        <v>0</v>
      </c>
      <c r="D83" s="50">
        <f>+SUM('Breakdown '!H78:J78)</f>
        <v>0</v>
      </c>
      <c r="E83" s="50">
        <f>+SUM('Breakdown '!K77:M77)</f>
        <v>0</v>
      </c>
      <c r="F83" s="49">
        <f>+SUM('Breakdown '!L78:N78)</f>
        <v>0</v>
      </c>
      <c r="G83" s="49">
        <f>+SUM('Breakdown '!M78:O78)</f>
        <v>0</v>
      </c>
      <c r="H83" s="49">
        <f>+SUM('Breakdown '!N78:P78)</f>
        <v>0</v>
      </c>
      <c r="I83" s="59">
        <f t="shared" ref="I83:I90" si="9">SUM(B83:H83)</f>
        <v>0</v>
      </c>
      <c r="J83" s="97">
        <f t="shared" si="6"/>
        <v>42822.6</v>
      </c>
      <c r="K83" s="98">
        <f t="shared" si="3"/>
        <v>46749</v>
      </c>
      <c r="L83" s="99">
        <f t="shared" si="2"/>
        <v>52</v>
      </c>
      <c r="M83" s="100"/>
      <c r="N83" s="101"/>
      <c r="O83" s="101"/>
      <c r="P83" s="102"/>
      <c r="Q83" s="102"/>
      <c r="R83" s="102"/>
      <c r="S83" s="102"/>
      <c r="T83" s="102"/>
      <c r="U83" s="103"/>
      <c r="V83" s="104"/>
    </row>
    <row r="84" spans="1:22" x14ac:dyDescent="0.25">
      <c r="A84" s="179" t="s">
        <v>123</v>
      </c>
      <c r="B84" s="51">
        <f>+SUM('Breakdown '!B79:D79)</f>
        <v>0</v>
      </c>
      <c r="C84" s="51">
        <f>+SUM('Breakdown '!E78:G78)</f>
        <v>0</v>
      </c>
      <c r="D84" s="50">
        <f>+SUM('Breakdown '!H79:J79)</f>
        <v>0</v>
      </c>
      <c r="E84" s="50">
        <f>+SUM('Breakdown '!K78:M78)</f>
        <v>0</v>
      </c>
      <c r="F84" s="49">
        <f>+SUM('Breakdown '!L79:N79)</f>
        <v>0</v>
      </c>
      <c r="G84" s="49">
        <f>+SUM('Breakdown '!M79:O79)</f>
        <v>0</v>
      </c>
      <c r="H84" s="49">
        <f>+SUM('Breakdown '!N79:P79)</f>
        <v>0</v>
      </c>
      <c r="I84" s="59">
        <f t="shared" si="9"/>
        <v>0</v>
      </c>
      <c r="J84" s="97">
        <f t="shared" si="6"/>
        <v>42822.6</v>
      </c>
      <c r="K84" s="98">
        <f t="shared" si="3"/>
        <v>46756</v>
      </c>
      <c r="L84" s="99">
        <f t="shared" ref="L84:L91" si="10">_xlfn.ISOWEEKNUM(K84)</f>
        <v>1</v>
      </c>
      <c r="M84" s="100"/>
      <c r="N84" s="101"/>
      <c r="O84" s="101"/>
      <c r="P84" s="102"/>
      <c r="Q84" s="102"/>
      <c r="R84" s="102"/>
      <c r="S84" s="102"/>
      <c r="T84" s="102"/>
      <c r="U84" s="103"/>
      <c r="V84" s="104"/>
    </row>
    <row r="85" spans="1:22" x14ac:dyDescent="0.25">
      <c r="A85" s="179" t="s">
        <v>124</v>
      </c>
      <c r="B85" s="51">
        <f>+SUM('Breakdown '!B80:D80)</f>
        <v>0</v>
      </c>
      <c r="C85" s="51">
        <f>+SUM('Breakdown '!E79:G79)</f>
        <v>0</v>
      </c>
      <c r="D85" s="50">
        <f>+SUM('Breakdown '!H80:J80)</f>
        <v>0</v>
      </c>
      <c r="E85" s="50">
        <f>+SUM('Breakdown '!K79:M79)</f>
        <v>0</v>
      </c>
      <c r="F85" s="49">
        <f>+SUM('Breakdown '!L80:N80)</f>
        <v>0</v>
      </c>
      <c r="G85" s="49">
        <f>+SUM('Breakdown '!M80:O80)</f>
        <v>0</v>
      </c>
      <c r="H85" s="49">
        <f>+SUM('Breakdown '!N80:P80)</f>
        <v>0</v>
      </c>
      <c r="I85" s="59">
        <f t="shared" si="9"/>
        <v>0</v>
      </c>
      <c r="J85" s="97">
        <f t="shared" ref="J85:J88" si="11">I85+J84</f>
        <v>42822.6</v>
      </c>
      <c r="K85" s="98">
        <f t="shared" si="3"/>
        <v>46763</v>
      </c>
      <c r="L85" s="99">
        <f t="shared" ref="L85:L88" si="12">_xlfn.ISOWEEKNUM(K85)</f>
        <v>2</v>
      </c>
      <c r="M85" s="100"/>
      <c r="N85" s="101"/>
      <c r="O85" s="101"/>
      <c r="P85" s="102"/>
      <c r="Q85" s="102"/>
      <c r="R85" s="102"/>
      <c r="S85" s="102"/>
      <c r="T85" s="102"/>
      <c r="U85" s="103"/>
      <c r="V85" s="104"/>
    </row>
    <row r="86" spans="1:22" x14ac:dyDescent="0.25">
      <c r="A86" s="179" t="s">
        <v>125</v>
      </c>
      <c r="B86" s="51">
        <f>+SUM('Breakdown '!B81:D81)</f>
        <v>0</v>
      </c>
      <c r="C86" s="51">
        <f>+SUM('Breakdown '!E80:G80)</f>
        <v>0</v>
      </c>
      <c r="D86" s="50">
        <f>+SUM('Breakdown '!H81:J81)</f>
        <v>0</v>
      </c>
      <c r="E86" s="50">
        <f>+SUM('Breakdown '!K80:M80)</f>
        <v>0</v>
      </c>
      <c r="F86" s="49">
        <f>+SUM('Breakdown '!L81:N81)</f>
        <v>0</v>
      </c>
      <c r="G86" s="49">
        <f>+SUM('Breakdown '!M81:O81)</f>
        <v>0</v>
      </c>
      <c r="H86" s="49">
        <f>+SUM('Breakdown '!N81:P81)</f>
        <v>0</v>
      </c>
      <c r="I86" s="59">
        <f t="shared" si="9"/>
        <v>0</v>
      </c>
      <c r="J86" s="97">
        <f t="shared" si="11"/>
        <v>42822.6</v>
      </c>
      <c r="K86" s="98">
        <f t="shared" ref="K86:K88" si="13">K85+7</f>
        <v>46770</v>
      </c>
      <c r="L86" s="99">
        <f t="shared" si="12"/>
        <v>3</v>
      </c>
      <c r="M86" s="100"/>
      <c r="N86" s="101"/>
      <c r="O86" s="101"/>
      <c r="P86" s="102"/>
      <c r="Q86" s="102"/>
      <c r="R86" s="102"/>
      <c r="S86" s="102"/>
      <c r="T86" s="102"/>
      <c r="U86" s="103"/>
      <c r="V86" s="104"/>
    </row>
    <row r="87" spans="1:22" x14ac:dyDescent="0.25">
      <c r="A87" s="179" t="s">
        <v>126</v>
      </c>
      <c r="B87" s="51">
        <f>+SUM('Breakdown '!B82:D82)</f>
        <v>0</v>
      </c>
      <c r="C87" s="51">
        <f>+SUM('Breakdown '!E81:G81)</f>
        <v>0</v>
      </c>
      <c r="D87" s="50">
        <f>+SUM('Breakdown '!H82:J82)</f>
        <v>0</v>
      </c>
      <c r="E87" s="50">
        <f>+SUM('Breakdown '!K81:M81)</f>
        <v>0</v>
      </c>
      <c r="F87" s="49">
        <f>+SUM('Breakdown '!L82:N82)</f>
        <v>0</v>
      </c>
      <c r="G87" s="49">
        <f>+SUM('Breakdown '!M82:O82)</f>
        <v>0</v>
      </c>
      <c r="H87" s="49">
        <f>+SUM('Breakdown '!N82:P82)</f>
        <v>0</v>
      </c>
      <c r="I87" s="59">
        <f t="shared" si="9"/>
        <v>0</v>
      </c>
      <c r="J87" s="97">
        <f t="shared" si="11"/>
        <v>42822.6</v>
      </c>
      <c r="K87" s="98">
        <f t="shared" si="13"/>
        <v>46777</v>
      </c>
      <c r="L87" s="99">
        <f t="shared" si="12"/>
        <v>4</v>
      </c>
      <c r="M87" s="100"/>
      <c r="N87" s="101"/>
      <c r="O87" s="101"/>
      <c r="P87" s="102"/>
      <c r="Q87" s="102"/>
      <c r="R87" s="102"/>
      <c r="S87" s="102"/>
      <c r="T87" s="102"/>
      <c r="U87" s="103"/>
      <c r="V87" s="104"/>
    </row>
    <row r="88" spans="1:22" x14ac:dyDescent="0.25">
      <c r="A88" s="179" t="s">
        <v>127</v>
      </c>
      <c r="B88" s="51">
        <f>+SUM('Breakdown '!B83:D83)</f>
        <v>0</v>
      </c>
      <c r="C88" s="51">
        <f>+SUM('Breakdown '!E82:G82)</f>
        <v>0</v>
      </c>
      <c r="D88" s="51">
        <f>+SUM('Breakdown '!H83:J83)</f>
        <v>0</v>
      </c>
      <c r="E88" s="50">
        <f>+SUM('Breakdown '!K82:M82)</f>
        <v>0</v>
      </c>
      <c r="F88" s="231">
        <f>+SUM('Breakdown '!L83:N83)</f>
        <v>0</v>
      </c>
      <c r="G88" s="231">
        <f>+SUM('Breakdown '!M83:O83)</f>
        <v>0</v>
      </c>
      <c r="H88" s="231">
        <f>+SUM('Breakdown '!N83:P83)</f>
        <v>0</v>
      </c>
      <c r="I88" s="59">
        <f t="shared" si="9"/>
        <v>0</v>
      </c>
      <c r="J88" s="97">
        <f t="shared" si="11"/>
        <v>42822.6</v>
      </c>
      <c r="K88" s="98">
        <f t="shared" si="13"/>
        <v>46784</v>
      </c>
      <c r="L88" s="99">
        <f t="shared" si="12"/>
        <v>5</v>
      </c>
      <c r="M88" s="100"/>
      <c r="N88" s="101"/>
      <c r="O88" s="101"/>
      <c r="P88" s="102"/>
      <c r="Q88" s="102"/>
      <c r="R88" s="102"/>
      <c r="S88" s="102"/>
      <c r="T88" s="102"/>
      <c r="U88" s="103"/>
      <c r="V88" s="104"/>
    </row>
    <row r="89" spans="1:22" x14ac:dyDescent="0.25">
      <c r="A89" s="52" t="s">
        <v>15</v>
      </c>
      <c r="B89" s="53">
        <f>SUM(B19:B88)</f>
        <v>6365.4</v>
      </c>
      <c r="C89" s="53">
        <f t="shared" ref="C89:H89" si="14">SUM(C19:C88)</f>
        <v>5569.2000000000007</v>
      </c>
      <c r="D89" s="53">
        <f>SUM(D19:D88)</f>
        <v>187.2</v>
      </c>
      <c r="E89" s="53">
        <f t="shared" si="14"/>
        <v>9219.5999999999985</v>
      </c>
      <c r="F89" s="53">
        <f>SUM(F19:F88)</f>
        <v>8190.0000000000018</v>
      </c>
      <c r="G89" s="53">
        <f>SUM(G19:G88)</f>
        <v>7160.4</v>
      </c>
      <c r="H89" s="53">
        <f t="shared" si="14"/>
        <v>6130.8000000000011</v>
      </c>
      <c r="I89" s="53">
        <f t="shared" si="9"/>
        <v>42822.600000000006</v>
      </c>
      <c r="J89" s="97">
        <f>I89+J85</f>
        <v>85645.200000000012</v>
      </c>
      <c r="K89" s="98">
        <f>K85+7</f>
        <v>46770</v>
      </c>
      <c r="L89" s="99">
        <f t="shared" si="10"/>
        <v>3</v>
      </c>
      <c r="M89" s="100"/>
      <c r="N89" s="101"/>
      <c r="O89" s="101"/>
      <c r="P89" s="102"/>
      <c r="Q89" s="102"/>
      <c r="R89" s="102"/>
      <c r="S89" s="102"/>
      <c r="T89" s="102"/>
      <c r="U89" s="103"/>
      <c r="V89" s="104"/>
    </row>
    <row r="90" spans="1:22" x14ac:dyDescent="0.25">
      <c r="A90" s="52" t="s">
        <v>14</v>
      </c>
      <c r="B90" s="53">
        <f t="shared" ref="B90:H90" si="15">B89/B13</f>
        <v>2121.7999999999997</v>
      </c>
      <c r="C90" s="53">
        <f t="shared" si="15"/>
        <v>1856.4000000000003</v>
      </c>
      <c r="D90" s="53">
        <f>D89/D13</f>
        <v>62.4</v>
      </c>
      <c r="E90" s="53">
        <f t="shared" si="15"/>
        <v>3073.1999999999994</v>
      </c>
      <c r="F90" s="53">
        <f>F89/F13</f>
        <v>2730.0000000000005</v>
      </c>
      <c r="G90" s="53">
        <f>G89/G13</f>
        <v>2386.7999999999997</v>
      </c>
      <c r="H90" s="53">
        <f t="shared" si="15"/>
        <v>2043.6000000000004</v>
      </c>
      <c r="I90" s="53">
        <f t="shared" si="9"/>
        <v>14274.199999999999</v>
      </c>
      <c r="J90" s="97">
        <f t="shared" si="6"/>
        <v>99919.400000000009</v>
      </c>
      <c r="K90" s="98">
        <f>K89+7</f>
        <v>46777</v>
      </c>
      <c r="L90" s="99">
        <f t="shared" si="10"/>
        <v>4</v>
      </c>
      <c r="M90" s="100"/>
      <c r="N90" s="101"/>
      <c r="O90" s="101"/>
      <c r="P90" s="102"/>
      <c r="Q90" s="102"/>
      <c r="R90" s="102"/>
      <c r="S90" s="102"/>
      <c r="T90" s="102"/>
      <c r="U90" s="103"/>
      <c r="V90" s="104"/>
    </row>
    <row r="91" spans="1:22" ht="18.75" thickBot="1" x14ac:dyDescent="0.3">
      <c r="A91" s="54"/>
      <c r="B91" s="53"/>
      <c r="C91" s="53"/>
      <c r="D91" s="53"/>
      <c r="E91" s="53"/>
      <c r="F91" s="53"/>
      <c r="G91" s="53"/>
      <c r="H91" s="53"/>
      <c r="I91" s="53">
        <f>SUM(I19:I88)</f>
        <v>42822.6</v>
      </c>
      <c r="J91" s="128">
        <f>I91+J90</f>
        <v>142742</v>
      </c>
      <c r="K91" s="98">
        <f t="shared" ref="K91" si="16">K90+7</f>
        <v>46784</v>
      </c>
      <c r="L91" s="100">
        <f t="shared" si="10"/>
        <v>5</v>
      </c>
      <c r="M91" s="100"/>
      <c r="N91" s="101"/>
      <c r="O91" s="101"/>
      <c r="P91" s="102"/>
      <c r="Q91" s="102"/>
      <c r="R91" s="102"/>
      <c r="S91" s="102"/>
      <c r="T91" s="102"/>
      <c r="U91" s="103"/>
      <c r="V91" s="104"/>
    </row>
    <row r="92" spans="1:22" x14ac:dyDescent="0.25">
      <c r="A92" s="48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</row>
    <row r="93" spans="1:22" x14ac:dyDescent="0.25">
      <c r="B93" s="36"/>
      <c r="C93" s="36"/>
      <c r="D93" s="36"/>
      <c r="E93" s="36"/>
      <c r="F93" s="36"/>
      <c r="G93" s="36"/>
      <c r="H93" s="36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</row>
    <row r="94" spans="1:22" x14ac:dyDescent="0.25">
      <c r="B94" s="42"/>
      <c r="C94" s="42"/>
      <c r="D94" s="42"/>
      <c r="E94" s="42"/>
      <c r="F94" s="42"/>
      <c r="G94" s="42"/>
      <c r="H94" s="42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</row>
    <row r="95" spans="1:22" x14ac:dyDescent="0.25">
      <c r="B95" s="36"/>
      <c r="C95" s="36"/>
      <c r="D95" s="36"/>
      <c r="E95" s="36"/>
      <c r="F95" s="36"/>
      <c r="G95" s="36"/>
      <c r="H95" s="36"/>
      <c r="I95" s="36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</row>
    <row r="96" spans="1:22" x14ac:dyDescent="0.25">
      <c r="B96" s="33"/>
      <c r="C96" s="33"/>
      <c r="D96" s="33"/>
      <c r="E96" s="33"/>
      <c r="F96" s="33"/>
      <c r="G96" s="33"/>
      <c r="H96" s="33"/>
      <c r="I96" s="33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</row>
    <row r="97" s="30" customFormat="1" x14ac:dyDescent="0.25"/>
    <row r="98" s="30" customFormat="1" x14ac:dyDescent="0.25"/>
    <row r="99" s="30" customFormat="1" x14ac:dyDescent="0.25"/>
    <row r="100" s="30" customFormat="1" x14ac:dyDescent="0.25"/>
    <row r="101" s="30" customFormat="1" x14ac:dyDescent="0.25"/>
    <row r="102" s="30" customFormat="1" x14ac:dyDescent="0.25"/>
    <row r="103" s="30" customFormat="1" x14ac:dyDescent="0.25"/>
    <row r="104" s="30" customFormat="1" x14ac:dyDescent="0.25"/>
    <row r="105" s="30" customFormat="1" x14ac:dyDescent="0.25"/>
    <row r="106" s="30" customFormat="1" x14ac:dyDescent="0.25"/>
    <row r="107" s="30" customFormat="1" x14ac:dyDescent="0.25"/>
    <row r="108" s="30" customFormat="1" x14ac:dyDescent="0.25"/>
    <row r="109" s="30" customFormat="1" x14ac:dyDescent="0.25"/>
    <row r="110" s="30" customFormat="1" x14ac:dyDescent="0.25"/>
    <row r="111" s="30" customFormat="1" x14ac:dyDescent="0.25"/>
    <row r="112" s="30" customFormat="1" x14ac:dyDescent="0.25"/>
    <row r="113" spans="10:22" x14ac:dyDescent="0.25"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</row>
    <row r="114" spans="10:22" x14ac:dyDescent="0.25"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</row>
    <row r="115" spans="10:22" x14ac:dyDescent="0.25"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</row>
    <row r="116" spans="10:22" x14ac:dyDescent="0.25"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</row>
    <row r="117" spans="10:22" x14ac:dyDescent="0.25"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</row>
    <row r="118" spans="10:22" x14ac:dyDescent="0.25"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</row>
    <row r="119" spans="10:22" x14ac:dyDescent="0.25"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</row>
    <row r="120" spans="10:22" x14ac:dyDescent="0.25"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</row>
    <row r="121" spans="10:22" x14ac:dyDescent="0.25"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</row>
    <row r="122" spans="10:22" x14ac:dyDescent="0.25"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</row>
    <row r="123" spans="10:22" x14ac:dyDescent="0.25">
      <c r="J123" s="120"/>
      <c r="K123" s="121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</row>
    <row r="124" spans="10:22" x14ac:dyDescent="0.25">
      <c r="J124" s="123"/>
      <c r="K124" s="121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</row>
    <row r="125" spans="10:22" ht="18.75" thickBot="1" x14ac:dyDescent="0.3">
      <c r="J125" s="124"/>
      <c r="K125" s="125"/>
    </row>
    <row r="126" spans="10:22" x14ac:dyDescent="0.25">
      <c r="J126" s="30"/>
      <c r="O126" s="126"/>
      <c r="P126" s="126"/>
      <c r="Q126" s="126"/>
      <c r="R126" s="126"/>
      <c r="S126" s="126"/>
      <c r="T126" s="126"/>
      <c r="U126" s="126"/>
      <c r="V126" s="126"/>
    </row>
    <row r="127" spans="10:22" x14ac:dyDescent="0.25">
      <c r="J127" s="126"/>
      <c r="K127" s="122"/>
      <c r="L127" s="122"/>
      <c r="M127" s="122"/>
      <c r="N127" s="122"/>
      <c r="O127" s="122"/>
      <c r="P127" s="122"/>
      <c r="Q127" s="122"/>
      <c r="R127" s="122"/>
      <c r="S127" s="122"/>
    </row>
    <row r="128" spans="10:22" x14ac:dyDescent="0.25">
      <c r="J128" s="110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</row>
    <row r="129" spans="10:22" x14ac:dyDescent="0.25">
      <c r="J129" s="126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</row>
    <row r="130" spans="10:22" x14ac:dyDescent="0.25">
      <c r="J130" s="127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</row>
    <row r="131" spans="10:22" x14ac:dyDescent="0.25">
      <c r="J131" s="126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</row>
    <row r="132" spans="10:22" x14ac:dyDescent="0.25">
      <c r="J132" s="126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</row>
    <row r="133" spans="10:22" x14ac:dyDescent="0.25">
      <c r="J133" s="126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</row>
    <row r="134" spans="10:22" x14ac:dyDescent="0.25">
      <c r="J134" s="126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</row>
    <row r="135" spans="10:22" x14ac:dyDescent="0.25">
      <c r="J135" s="126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</row>
    <row r="136" spans="10:22" x14ac:dyDescent="0.25">
      <c r="J136" s="126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</row>
    <row r="137" spans="10:22" x14ac:dyDescent="0.25">
      <c r="J137" s="126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</row>
    <row r="138" spans="10:22" x14ac:dyDescent="0.25">
      <c r="J138" s="126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</row>
    <row r="139" spans="10:22" x14ac:dyDescent="0.25">
      <c r="J139" s="126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</row>
    <row r="140" spans="10:22" x14ac:dyDescent="0.25">
      <c r="J140" s="126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</row>
    <row r="141" spans="10:22" x14ac:dyDescent="0.25">
      <c r="J141" s="126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</row>
    <row r="142" spans="10:22" x14ac:dyDescent="0.25">
      <c r="J142" s="126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</row>
    <row r="143" spans="10:22" x14ac:dyDescent="0.25">
      <c r="J143" s="126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</row>
    <row r="144" spans="10:22" x14ac:dyDescent="0.25">
      <c r="J144" s="126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</row>
    <row r="145" spans="10:22" x14ac:dyDescent="0.25">
      <c r="J145" s="126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</row>
    <row r="146" spans="10:22" x14ac:dyDescent="0.25">
      <c r="J146" s="126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</row>
    <row r="147" spans="10:22" x14ac:dyDescent="0.25">
      <c r="J147" s="126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</row>
    <row r="148" spans="10:22" x14ac:dyDescent="0.25">
      <c r="J148" s="126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</row>
    <row r="149" spans="10:22" x14ac:dyDescent="0.25">
      <c r="J149" s="126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</row>
    <row r="150" spans="10:22" x14ac:dyDescent="0.25">
      <c r="J150" s="126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</row>
    <row r="151" spans="10:22" x14ac:dyDescent="0.25">
      <c r="J151" s="126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</row>
    <row r="152" spans="10:22" x14ac:dyDescent="0.25">
      <c r="J152" s="126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</row>
    <row r="153" spans="10:22" x14ac:dyDescent="0.25">
      <c r="J153" s="126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</row>
    <row r="154" spans="10:22" x14ac:dyDescent="0.25">
      <c r="J154" s="126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</row>
    <row r="155" spans="10:22" x14ac:dyDescent="0.25">
      <c r="J155" s="126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</row>
    <row r="156" spans="10:22" x14ac:dyDescent="0.25">
      <c r="J156" s="126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</row>
    <row r="157" spans="10:22" x14ac:dyDescent="0.25">
      <c r="J157" s="126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</row>
    <row r="158" spans="10:22" x14ac:dyDescent="0.25">
      <c r="J158" s="126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</row>
    <row r="159" spans="10:22" x14ac:dyDescent="0.25">
      <c r="J159" s="126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</row>
    <row r="160" spans="10:22" x14ac:dyDescent="0.25">
      <c r="J160" s="126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</row>
    <row r="161" spans="10:22" x14ac:dyDescent="0.25">
      <c r="J161" s="126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</row>
    <row r="162" spans="10:22" x14ac:dyDescent="0.25">
      <c r="J162" s="126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</row>
    <row r="163" spans="10:22" x14ac:dyDescent="0.25">
      <c r="J163" s="126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</row>
    <row r="164" spans="10:22" x14ac:dyDescent="0.25">
      <c r="J164" s="126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</row>
    <row r="165" spans="10:22" x14ac:dyDescent="0.25">
      <c r="J165" s="126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</row>
    <row r="166" spans="10:22" x14ac:dyDescent="0.25">
      <c r="J166" s="126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</row>
    <row r="167" spans="10:22" x14ac:dyDescent="0.25">
      <c r="J167" s="126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</row>
    <row r="168" spans="10:22" x14ac:dyDescent="0.25">
      <c r="J168" s="126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</row>
    <row r="169" spans="10:22" x14ac:dyDescent="0.25">
      <c r="J169" s="126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</row>
    <row r="170" spans="10:22" x14ac:dyDescent="0.25">
      <c r="J170" s="126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</row>
    <row r="171" spans="10:22" x14ac:dyDescent="0.25">
      <c r="J171" s="126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</row>
    <row r="172" spans="10:22" x14ac:dyDescent="0.25">
      <c r="J172" s="126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</row>
    <row r="173" spans="10:22" x14ac:dyDescent="0.25">
      <c r="J173" s="126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</row>
    <row r="174" spans="10:22" x14ac:dyDescent="0.25">
      <c r="J174" s="126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</row>
    <row r="175" spans="10:22" x14ac:dyDescent="0.25">
      <c r="J175" s="126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</row>
    <row r="176" spans="10:22" x14ac:dyDescent="0.25">
      <c r="J176" s="126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</row>
    <row r="177" spans="10:22" x14ac:dyDescent="0.25">
      <c r="J177" s="126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</row>
    <row r="178" spans="10:22" x14ac:dyDescent="0.25">
      <c r="J178" s="126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</row>
    <row r="179" spans="10:22" x14ac:dyDescent="0.25">
      <c r="J179" s="126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</row>
    <row r="180" spans="10:22" x14ac:dyDescent="0.25">
      <c r="J180" s="126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</row>
    <row r="181" spans="10:22" x14ac:dyDescent="0.25">
      <c r="J181" s="126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</row>
    <row r="182" spans="10:22" x14ac:dyDescent="0.25">
      <c r="J182" s="126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</row>
    <row r="183" spans="10:22" x14ac:dyDescent="0.25">
      <c r="J183" s="126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</row>
    <row r="184" spans="10:22" x14ac:dyDescent="0.25">
      <c r="J184" s="126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</row>
    <row r="185" spans="10:22" x14ac:dyDescent="0.25">
      <c r="J185" s="126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</row>
    <row r="186" spans="10:22" x14ac:dyDescent="0.25">
      <c r="J186" s="126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</row>
    <row r="187" spans="10:22" x14ac:dyDescent="0.25">
      <c r="J187" s="126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</row>
    <row r="188" spans="10:22" x14ac:dyDescent="0.25">
      <c r="J188" s="126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</row>
    <row r="189" spans="10:22" x14ac:dyDescent="0.25">
      <c r="J189" s="126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</row>
    <row r="190" spans="10:22" x14ac:dyDescent="0.25">
      <c r="J190" s="126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</row>
    <row r="191" spans="10:22" x14ac:dyDescent="0.25">
      <c r="J191" s="126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</row>
    <row r="192" spans="10:22" x14ac:dyDescent="0.25">
      <c r="J192" s="126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</row>
    <row r="193" spans="10:22" x14ac:dyDescent="0.25">
      <c r="J193" s="126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</row>
    <row r="194" spans="10:22" x14ac:dyDescent="0.25">
      <c r="J194" s="126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</row>
    <row r="195" spans="10:22" x14ac:dyDescent="0.25">
      <c r="J195" s="126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</row>
    <row r="196" spans="10:22" x14ac:dyDescent="0.25">
      <c r="J196" s="126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</row>
    <row r="197" spans="10:22" x14ac:dyDescent="0.25">
      <c r="J197" s="126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</row>
    <row r="198" spans="10:22" x14ac:dyDescent="0.25">
      <c r="J198" s="110"/>
    </row>
    <row r="199" spans="10:22" x14ac:dyDescent="0.25">
      <c r="J199" s="110"/>
    </row>
    <row r="200" spans="10:22" x14ac:dyDescent="0.25">
      <c r="J200" s="110"/>
    </row>
    <row r="201" spans="10:22" x14ac:dyDescent="0.25">
      <c r="J201" s="110"/>
    </row>
    <row r="202" spans="10:22" x14ac:dyDescent="0.25">
      <c r="J202" s="110"/>
    </row>
    <row r="203" spans="10:22" x14ac:dyDescent="0.25">
      <c r="J203" s="110"/>
    </row>
    <row r="204" spans="10:22" x14ac:dyDescent="0.25">
      <c r="J204" s="110"/>
    </row>
    <row r="205" spans="10:22" x14ac:dyDescent="0.25">
      <c r="J205" s="110"/>
    </row>
    <row r="206" spans="10:22" x14ac:dyDescent="0.25">
      <c r="J206" s="110"/>
    </row>
    <row r="207" spans="10:22" x14ac:dyDescent="0.25">
      <c r="J207" s="110"/>
    </row>
    <row r="208" spans="10:22" x14ac:dyDescent="0.25">
      <c r="J208" s="110"/>
    </row>
    <row r="209" spans="10:10" x14ac:dyDescent="0.25">
      <c r="J209" s="110"/>
    </row>
    <row r="210" spans="10:10" x14ac:dyDescent="0.25">
      <c r="J210" s="110"/>
    </row>
    <row r="211" spans="10:10" x14ac:dyDescent="0.25">
      <c r="J211" s="110"/>
    </row>
    <row r="212" spans="10:10" x14ac:dyDescent="0.25">
      <c r="J212" s="110"/>
    </row>
    <row r="213" spans="10:10" x14ac:dyDescent="0.25">
      <c r="J213" s="110"/>
    </row>
    <row r="214" spans="10:10" x14ac:dyDescent="0.25">
      <c r="J214" s="110"/>
    </row>
    <row r="215" spans="10:10" x14ac:dyDescent="0.25">
      <c r="J215" s="110"/>
    </row>
    <row r="216" spans="10:10" x14ac:dyDescent="0.25">
      <c r="J216" s="110"/>
    </row>
    <row r="217" spans="10:10" x14ac:dyDescent="0.25">
      <c r="J217" s="110"/>
    </row>
    <row r="218" spans="10:10" x14ac:dyDescent="0.25">
      <c r="J218" s="110"/>
    </row>
    <row r="219" spans="10:10" x14ac:dyDescent="0.25">
      <c r="J219" s="110"/>
    </row>
    <row r="220" spans="10:10" x14ac:dyDescent="0.25">
      <c r="J220" s="110"/>
    </row>
    <row r="221" spans="10:10" x14ac:dyDescent="0.25">
      <c r="J221" s="110"/>
    </row>
    <row r="222" spans="10:10" x14ac:dyDescent="0.25">
      <c r="J222" s="110"/>
    </row>
    <row r="223" spans="10:10" x14ac:dyDescent="0.25">
      <c r="J223" s="110"/>
    </row>
    <row r="224" spans="10:10" x14ac:dyDescent="0.25">
      <c r="J224" s="110"/>
    </row>
    <row r="225" spans="10:10" x14ac:dyDescent="0.25">
      <c r="J225" s="110"/>
    </row>
    <row r="226" spans="10:10" x14ac:dyDescent="0.25">
      <c r="J226" s="110"/>
    </row>
    <row r="227" spans="10:10" x14ac:dyDescent="0.25">
      <c r="J227" s="110"/>
    </row>
    <row r="228" spans="10:10" x14ac:dyDescent="0.25">
      <c r="J228" s="110"/>
    </row>
    <row r="229" spans="10:10" x14ac:dyDescent="0.25">
      <c r="J229" s="110"/>
    </row>
    <row r="230" spans="10:10" x14ac:dyDescent="0.25">
      <c r="J230" s="110"/>
    </row>
    <row r="231" spans="10:10" x14ac:dyDescent="0.25">
      <c r="J231" s="110"/>
    </row>
    <row r="232" spans="10:10" x14ac:dyDescent="0.25">
      <c r="J232" s="110"/>
    </row>
    <row r="233" spans="10:10" x14ac:dyDescent="0.25">
      <c r="J233" s="110"/>
    </row>
    <row r="234" spans="10:10" x14ac:dyDescent="0.25">
      <c r="J234" s="110"/>
    </row>
    <row r="235" spans="10:10" x14ac:dyDescent="0.25">
      <c r="J235" s="110"/>
    </row>
    <row r="236" spans="10:10" x14ac:dyDescent="0.25">
      <c r="J236" s="110"/>
    </row>
    <row r="237" spans="10:10" x14ac:dyDescent="0.25">
      <c r="J237" s="110"/>
    </row>
    <row r="238" spans="10:10" x14ac:dyDescent="0.25">
      <c r="J238" s="110"/>
    </row>
    <row r="239" spans="10:10" x14ac:dyDescent="0.25">
      <c r="J239" s="110"/>
    </row>
    <row r="240" spans="10:10" x14ac:dyDescent="0.25">
      <c r="J240" s="110"/>
    </row>
    <row r="241" spans="10:10" x14ac:dyDescent="0.25">
      <c r="J241" s="110"/>
    </row>
    <row r="242" spans="10:10" x14ac:dyDescent="0.25">
      <c r="J242" s="110"/>
    </row>
    <row r="243" spans="10:10" x14ac:dyDescent="0.25">
      <c r="J243" s="110"/>
    </row>
    <row r="244" spans="10:10" x14ac:dyDescent="0.25">
      <c r="J244" s="110"/>
    </row>
    <row r="245" spans="10:10" x14ac:dyDescent="0.25">
      <c r="J245" s="110"/>
    </row>
    <row r="246" spans="10:10" x14ac:dyDescent="0.25">
      <c r="J246" s="110"/>
    </row>
    <row r="247" spans="10:10" x14ac:dyDescent="0.25">
      <c r="J247" s="110"/>
    </row>
    <row r="248" spans="10:10" x14ac:dyDescent="0.25">
      <c r="J248" s="110"/>
    </row>
    <row r="249" spans="10:10" x14ac:dyDescent="0.25">
      <c r="J249" s="110"/>
    </row>
    <row r="250" spans="10:10" x14ac:dyDescent="0.25">
      <c r="J250" s="110"/>
    </row>
    <row r="251" spans="10:10" x14ac:dyDescent="0.25">
      <c r="J251" s="110"/>
    </row>
    <row r="252" spans="10:10" x14ac:dyDescent="0.25">
      <c r="J252" s="110"/>
    </row>
    <row r="253" spans="10:10" x14ac:dyDescent="0.25">
      <c r="J253" s="110"/>
    </row>
    <row r="254" spans="10:10" x14ac:dyDescent="0.25">
      <c r="J254" s="110"/>
    </row>
    <row r="255" spans="10:10" x14ac:dyDescent="0.25">
      <c r="J255" s="110"/>
    </row>
    <row r="256" spans="10:10" x14ac:dyDescent="0.25">
      <c r="J256" s="110"/>
    </row>
    <row r="257" spans="10:10" x14ac:dyDescent="0.25">
      <c r="J257" s="110"/>
    </row>
    <row r="258" spans="10:10" x14ac:dyDescent="0.25">
      <c r="J258" s="110"/>
    </row>
    <row r="259" spans="10:10" x14ac:dyDescent="0.25">
      <c r="J259" s="110"/>
    </row>
    <row r="260" spans="10:10" x14ac:dyDescent="0.25">
      <c r="J260" s="110"/>
    </row>
    <row r="261" spans="10:10" x14ac:dyDescent="0.25">
      <c r="J261" s="110"/>
    </row>
    <row r="262" spans="10:10" x14ac:dyDescent="0.25">
      <c r="J262" s="110"/>
    </row>
    <row r="263" spans="10:10" x14ac:dyDescent="0.25">
      <c r="J263" s="110"/>
    </row>
    <row r="264" spans="10:10" x14ac:dyDescent="0.25">
      <c r="J264" s="110"/>
    </row>
    <row r="265" spans="10:10" x14ac:dyDescent="0.25">
      <c r="J265" s="110"/>
    </row>
    <row r="266" spans="10:10" x14ac:dyDescent="0.25">
      <c r="J266" s="110"/>
    </row>
    <row r="267" spans="10:10" x14ac:dyDescent="0.25">
      <c r="J267" s="110"/>
    </row>
    <row r="268" spans="10:10" x14ac:dyDescent="0.25">
      <c r="J268" s="110"/>
    </row>
    <row r="269" spans="10:10" x14ac:dyDescent="0.25">
      <c r="J269" s="110"/>
    </row>
    <row r="270" spans="10:10" x14ac:dyDescent="0.25">
      <c r="J270" s="110"/>
    </row>
    <row r="271" spans="10:10" x14ac:dyDescent="0.25">
      <c r="J271" s="110"/>
    </row>
    <row r="272" spans="10:10" x14ac:dyDescent="0.25">
      <c r="J272" s="110"/>
    </row>
    <row r="273" spans="10:10" x14ac:dyDescent="0.25">
      <c r="J273" s="110"/>
    </row>
    <row r="274" spans="10:10" x14ac:dyDescent="0.25">
      <c r="J274" s="110"/>
    </row>
    <row r="275" spans="10:10" x14ac:dyDescent="0.25">
      <c r="J275" s="110"/>
    </row>
    <row r="276" spans="10:10" x14ac:dyDescent="0.25">
      <c r="J276" s="110"/>
    </row>
    <row r="277" spans="10:10" x14ac:dyDescent="0.25">
      <c r="J277" s="110"/>
    </row>
    <row r="278" spans="10:10" x14ac:dyDescent="0.25">
      <c r="J278" s="110"/>
    </row>
    <row r="279" spans="10:10" x14ac:dyDescent="0.25">
      <c r="J279" s="110"/>
    </row>
    <row r="280" spans="10:10" x14ac:dyDescent="0.25">
      <c r="J280" s="110"/>
    </row>
    <row r="281" spans="10:10" x14ac:dyDescent="0.25">
      <c r="J281" s="110"/>
    </row>
    <row r="282" spans="10:10" x14ac:dyDescent="0.25">
      <c r="J282" s="110"/>
    </row>
    <row r="283" spans="10:10" x14ac:dyDescent="0.25">
      <c r="J283" s="110"/>
    </row>
    <row r="284" spans="10:10" x14ac:dyDescent="0.25">
      <c r="J284" s="110"/>
    </row>
    <row r="285" spans="10:10" x14ac:dyDescent="0.25">
      <c r="J285" s="110"/>
    </row>
    <row r="286" spans="10:10" x14ac:dyDescent="0.25">
      <c r="J286" s="110"/>
    </row>
    <row r="287" spans="10:10" x14ac:dyDescent="0.25">
      <c r="J287" s="110"/>
    </row>
    <row r="288" spans="10:10" x14ac:dyDescent="0.25">
      <c r="J288" s="110"/>
    </row>
    <row r="289" spans="10:10" x14ac:dyDescent="0.25">
      <c r="J289" s="110"/>
    </row>
    <row r="290" spans="10:10" x14ac:dyDescent="0.25">
      <c r="J290" s="110"/>
    </row>
    <row r="291" spans="10:10" x14ac:dyDescent="0.25">
      <c r="J291" s="110"/>
    </row>
    <row r="292" spans="10:10" x14ac:dyDescent="0.25">
      <c r="J292" s="110"/>
    </row>
    <row r="293" spans="10:10" x14ac:dyDescent="0.25">
      <c r="J293" s="110"/>
    </row>
    <row r="294" spans="10:10" x14ac:dyDescent="0.25">
      <c r="J294" s="110"/>
    </row>
    <row r="295" spans="10:10" x14ac:dyDescent="0.25">
      <c r="J295" s="110"/>
    </row>
    <row r="296" spans="10:10" x14ac:dyDescent="0.25">
      <c r="J296" s="110"/>
    </row>
    <row r="297" spans="10:10" x14ac:dyDescent="0.25">
      <c r="J297" s="110"/>
    </row>
    <row r="298" spans="10:10" x14ac:dyDescent="0.25">
      <c r="J298" s="110"/>
    </row>
    <row r="299" spans="10:10" x14ac:dyDescent="0.25">
      <c r="J299" s="110"/>
    </row>
    <row r="300" spans="10:10" x14ac:dyDescent="0.25">
      <c r="J300" s="110"/>
    </row>
    <row r="301" spans="10:10" x14ac:dyDescent="0.25">
      <c r="J301" s="110"/>
    </row>
    <row r="302" spans="10:10" x14ac:dyDescent="0.25">
      <c r="J302" s="110"/>
    </row>
    <row r="303" spans="10:10" x14ac:dyDescent="0.25">
      <c r="J303" s="110"/>
    </row>
    <row r="304" spans="10:10" x14ac:dyDescent="0.25">
      <c r="J304" s="110"/>
    </row>
    <row r="305" spans="10:10" x14ac:dyDescent="0.25">
      <c r="J305" s="110"/>
    </row>
    <row r="306" spans="10:10" x14ac:dyDescent="0.25">
      <c r="J306" s="110"/>
    </row>
    <row r="307" spans="10:10" x14ac:dyDescent="0.25">
      <c r="J307" s="110"/>
    </row>
    <row r="308" spans="10:10" x14ac:dyDescent="0.25">
      <c r="J308" s="110"/>
    </row>
    <row r="309" spans="10:10" x14ac:dyDescent="0.25">
      <c r="J309" s="110"/>
    </row>
    <row r="310" spans="10:10" x14ac:dyDescent="0.25">
      <c r="J310" s="110"/>
    </row>
    <row r="311" spans="10:10" x14ac:dyDescent="0.25">
      <c r="J311" s="110"/>
    </row>
    <row r="312" spans="10:10" x14ac:dyDescent="0.25">
      <c r="J312" s="110"/>
    </row>
    <row r="313" spans="10:10" x14ac:dyDescent="0.25">
      <c r="J313" s="110"/>
    </row>
    <row r="314" spans="10:10" x14ac:dyDescent="0.25">
      <c r="J314" s="110"/>
    </row>
    <row r="315" spans="10:10" x14ac:dyDescent="0.25">
      <c r="J315" s="110"/>
    </row>
    <row r="316" spans="10:10" x14ac:dyDescent="0.25">
      <c r="J316" s="110"/>
    </row>
    <row r="317" spans="10:10" x14ac:dyDescent="0.25">
      <c r="J317" s="110"/>
    </row>
    <row r="318" spans="10:10" x14ac:dyDescent="0.25">
      <c r="J318" s="110"/>
    </row>
    <row r="319" spans="10:10" x14ac:dyDescent="0.25">
      <c r="J319" s="110"/>
    </row>
    <row r="320" spans="10:10" x14ac:dyDescent="0.25">
      <c r="J320" s="110"/>
    </row>
    <row r="321" spans="10:10" x14ac:dyDescent="0.25">
      <c r="J321" s="110"/>
    </row>
    <row r="322" spans="10:10" x14ac:dyDescent="0.25">
      <c r="J322" s="110"/>
    </row>
    <row r="323" spans="10:10" x14ac:dyDescent="0.25">
      <c r="J323" s="110"/>
    </row>
    <row r="324" spans="10:10" x14ac:dyDescent="0.25">
      <c r="J324" s="110"/>
    </row>
    <row r="325" spans="10:10" x14ac:dyDescent="0.25">
      <c r="J325" s="110"/>
    </row>
    <row r="326" spans="10:10" x14ac:dyDescent="0.25">
      <c r="J326" s="110"/>
    </row>
    <row r="327" spans="10:10" x14ac:dyDescent="0.25">
      <c r="J327" s="110"/>
    </row>
    <row r="328" spans="10:10" x14ac:dyDescent="0.25">
      <c r="J328" s="110"/>
    </row>
    <row r="329" spans="10:10" x14ac:dyDescent="0.25">
      <c r="J329" s="110"/>
    </row>
    <row r="330" spans="10:10" x14ac:dyDescent="0.25">
      <c r="J330" s="110"/>
    </row>
    <row r="331" spans="10:10" x14ac:dyDescent="0.25">
      <c r="J331" s="110"/>
    </row>
    <row r="332" spans="10:10" x14ac:dyDescent="0.25">
      <c r="J332" s="110"/>
    </row>
    <row r="333" spans="10:10" x14ac:dyDescent="0.25">
      <c r="J333" s="110"/>
    </row>
    <row r="334" spans="10:10" x14ac:dyDescent="0.25">
      <c r="J334" s="110"/>
    </row>
    <row r="335" spans="10:10" x14ac:dyDescent="0.25">
      <c r="J335" s="110"/>
    </row>
    <row r="336" spans="10:10" x14ac:dyDescent="0.25">
      <c r="J336" s="110"/>
    </row>
    <row r="337" spans="10:10" x14ac:dyDescent="0.25">
      <c r="J337" s="110"/>
    </row>
    <row r="338" spans="10:10" x14ac:dyDescent="0.25">
      <c r="J338" s="110"/>
    </row>
    <row r="339" spans="10:10" x14ac:dyDescent="0.25">
      <c r="J339" s="110"/>
    </row>
    <row r="340" spans="10:10" x14ac:dyDescent="0.25">
      <c r="J340" s="110"/>
    </row>
    <row r="341" spans="10:10" x14ac:dyDescent="0.25">
      <c r="J341" s="110"/>
    </row>
    <row r="342" spans="10:10" x14ac:dyDescent="0.25">
      <c r="J342" s="110"/>
    </row>
    <row r="343" spans="10:10" x14ac:dyDescent="0.25">
      <c r="J343" s="110"/>
    </row>
    <row r="344" spans="10:10" x14ac:dyDescent="0.25">
      <c r="J344" s="110"/>
    </row>
    <row r="345" spans="10:10" x14ac:dyDescent="0.25">
      <c r="J345" s="110"/>
    </row>
    <row r="346" spans="10:10" x14ac:dyDescent="0.25">
      <c r="J346" s="110"/>
    </row>
    <row r="347" spans="10:10" x14ac:dyDescent="0.25">
      <c r="J347" s="110"/>
    </row>
    <row r="348" spans="10:10" x14ac:dyDescent="0.25">
      <c r="J348" s="110"/>
    </row>
    <row r="349" spans="10:10" x14ac:dyDescent="0.25">
      <c r="J349" s="110"/>
    </row>
    <row r="350" spans="10:10" x14ac:dyDescent="0.25">
      <c r="J350" s="110"/>
    </row>
    <row r="351" spans="10:10" x14ac:dyDescent="0.25">
      <c r="J351" s="110"/>
    </row>
    <row r="352" spans="10:10" x14ac:dyDescent="0.25">
      <c r="J352" s="110"/>
    </row>
    <row r="353" spans="10:10" x14ac:dyDescent="0.25">
      <c r="J353" s="110"/>
    </row>
    <row r="354" spans="10:10" x14ac:dyDescent="0.25">
      <c r="J354" s="110"/>
    </row>
    <row r="355" spans="10:10" x14ac:dyDescent="0.25">
      <c r="J355" s="110"/>
    </row>
    <row r="356" spans="10:10" x14ac:dyDescent="0.25">
      <c r="J356" s="110"/>
    </row>
    <row r="357" spans="10:10" x14ac:dyDescent="0.25">
      <c r="J357" s="110"/>
    </row>
    <row r="358" spans="10:10" x14ac:dyDescent="0.25">
      <c r="J358" s="110"/>
    </row>
    <row r="359" spans="10:10" x14ac:dyDescent="0.25">
      <c r="J359" s="110"/>
    </row>
    <row r="360" spans="10:10" x14ac:dyDescent="0.25">
      <c r="J360" s="110"/>
    </row>
    <row r="361" spans="10:10" x14ac:dyDescent="0.25">
      <c r="J361" s="110"/>
    </row>
    <row r="362" spans="10:10" x14ac:dyDescent="0.25">
      <c r="J362" s="110"/>
    </row>
    <row r="363" spans="10:10" x14ac:dyDescent="0.25">
      <c r="J363" s="110"/>
    </row>
    <row r="364" spans="10:10" x14ac:dyDescent="0.25">
      <c r="J364" s="110"/>
    </row>
    <row r="365" spans="10:10" x14ac:dyDescent="0.25">
      <c r="J365" s="110"/>
    </row>
    <row r="366" spans="10:10" x14ac:dyDescent="0.25">
      <c r="J366" s="110"/>
    </row>
    <row r="367" spans="10:10" x14ac:dyDescent="0.25">
      <c r="J367" s="110"/>
    </row>
    <row r="368" spans="10:10" x14ac:dyDescent="0.25">
      <c r="J368" s="110"/>
    </row>
    <row r="369" spans="10:10" x14ac:dyDescent="0.25">
      <c r="J369" s="110"/>
    </row>
    <row r="370" spans="10:10" x14ac:dyDescent="0.25">
      <c r="J370" s="110"/>
    </row>
    <row r="371" spans="10:10" x14ac:dyDescent="0.25">
      <c r="J371" s="110"/>
    </row>
    <row r="372" spans="10:10" x14ac:dyDescent="0.25">
      <c r="J372" s="110"/>
    </row>
    <row r="373" spans="10:10" x14ac:dyDescent="0.25">
      <c r="J373" s="110"/>
    </row>
    <row r="374" spans="10:10" x14ac:dyDescent="0.25">
      <c r="J374" s="110"/>
    </row>
    <row r="375" spans="10:10" x14ac:dyDescent="0.25">
      <c r="J375" s="110"/>
    </row>
    <row r="376" spans="10:10" x14ac:dyDescent="0.25">
      <c r="J376" s="110"/>
    </row>
    <row r="377" spans="10:10" x14ac:dyDescent="0.25">
      <c r="J377" s="110"/>
    </row>
    <row r="378" spans="10:10" x14ac:dyDescent="0.25">
      <c r="J378" s="110"/>
    </row>
    <row r="379" spans="10:10" x14ac:dyDescent="0.25">
      <c r="J379" s="110"/>
    </row>
    <row r="380" spans="10:10" x14ac:dyDescent="0.25">
      <c r="J380" s="110"/>
    </row>
    <row r="381" spans="10:10" x14ac:dyDescent="0.25">
      <c r="J381" s="110"/>
    </row>
    <row r="382" spans="10:10" x14ac:dyDescent="0.25">
      <c r="J382" s="110"/>
    </row>
    <row r="383" spans="10:10" x14ac:dyDescent="0.25">
      <c r="J383" s="110"/>
    </row>
    <row r="384" spans="10:10" x14ac:dyDescent="0.25">
      <c r="J384" s="110"/>
    </row>
    <row r="385" spans="10:10" x14ac:dyDescent="0.25">
      <c r="J385" s="110"/>
    </row>
    <row r="386" spans="10:10" x14ac:dyDescent="0.25">
      <c r="J386" s="110"/>
    </row>
    <row r="387" spans="10:10" x14ac:dyDescent="0.25">
      <c r="J387" s="110"/>
    </row>
    <row r="388" spans="10:10" x14ac:dyDescent="0.25">
      <c r="J388" s="110"/>
    </row>
    <row r="389" spans="10:10" x14ac:dyDescent="0.25">
      <c r="J389" s="110"/>
    </row>
    <row r="390" spans="10:10" x14ac:dyDescent="0.25">
      <c r="J390" s="110"/>
    </row>
    <row r="391" spans="10:10" x14ac:dyDescent="0.25">
      <c r="J391" s="110"/>
    </row>
    <row r="392" spans="10:10" x14ac:dyDescent="0.25">
      <c r="J392" s="110"/>
    </row>
    <row r="393" spans="10:10" x14ac:dyDescent="0.25">
      <c r="J393" s="110"/>
    </row>
    <row r="394" spans="10:10" x14ac:dyDescent="0.25">
      <c r="J394" s="110"/>
    </row>
    <row r="395" spans="10:10" x14ac:dyDescent="0.25">
      <c r="J395" s="110"/>
    </row>
    <row r="396" spans="10:10" x14ac:dyDescent="0.25">
      <c r="J396" s="110"/>
    </row>
    <row r="397" spans="10:10" x14ac:dyDescent="0.25">
      <c r="J397" s="110"/>
    </row>
    <row r="398" spans="10:10" x14ac:dyDescent="0.25">
      <c r="J398" s="110"/>
    </row>
    <row r="399" spans="10:10" x14ac:dyDescent="0.25">
      <c r="J399" s="110"/>
    </row>
    <row r="400" spans="10:10" x14ac:dyDescent="0.25">
      <c r="J400" s="110"/>
    </row>
    <row r="401" spans="10:10" x14ac:dyDescent="0.25">
      <c r="J401" s="110"/>
    </row>
    <row r="402" spans="10:10" x14ac:dyDescent="0.25">
      <c r="J402" s="110"/>
    </row>
    <row r="403" spans="10:10" x14ac:dyDescent="0.25">
      <c r="J403" s="110"/>
    </row>
    <row r="404" spans="10:10" x14ac:dyDescent="0.25">
      <c r="J404" s="110"/>
    </row>
    <row r="405" spans="10:10" x14ac:dyDescent="0.25">
      <c r="J405" s="110"/>
    </row>
    <row r="406" spans="10:10" x14ac:dyDescent="0.25">
      <c r="J406" s="110"/>
    </row>
    <row r="407" spans="10:10" x14ac:dyDescent="0.25">
      <c r="J407" s="110"/>
    </row>
    <row r="408" spans="10:10" x14ac:dyDescent="0.25">
      <c r="J408" s="110"/>
    </row>
    <row r="409" spans="10:10" x14ac:dyDescent="0.25">
      <c r="J409" s="110"/>
    </row>
    <row r="410" spans="10:10" x14ac:dyDescent="0.25">
      <c r="J410" s="110"/>
    </row>
    <row r="411" spans="10:10" x14ac:dyDescent="0.25">
      <c r="J411" s="110"/>
    </row>
    <row r="412" spans="10:10" x14ac:dyDescent="0.25">
      <c r="J412" s="110"/>
    </row>
    <row r="413" spans="10:10" x14ac:dyDescent="0.25">
      <c r="J413" s="110"/>
    </row>
    <row r="414" spans="10:10" x14ac:dyDescent="0.25">
      <c r="J414" s="110"/>
    </row>
    <row r="415" spans="10:10" x14ac:dyDescent="0.25">
      <c r="J415" s="110"/>
    </row>
    <row r="416" spans="10:10" x14ac:dyDescent="0.25">
      <c r="J416" s="110"/>
    </row>
    <row r="417" spans="10:10" x14ac:dyDescent="0.25">
      <c r="J417" s="110"/>
    </row>
    <row r="418" spans="10:10" x14ac:dyDescent="0.25">
      <c r="J418" s="110"/>
    </row>
    <row r="419" spans="10:10" x14ac:dyDescent="0.25">
      <c r="J419" s="110"/>
    </row>
    <row r="420" spans="10:10" x14ac:dyDescent="0.25">
      <c r="J420" s="110"/>
    </row>
    <row r="421" spans="10:10" x14ac:dyDescent="0.25">
      <c r="J421" s="110"/>
    </row>
    <row r="422" spans="10:10" x14ac:dyDescent="0.25">
      <c r="J422" s="110"/>
    </row>
    <row r="423" spans="10:10" x14ac:dyDescent="0.25">
      <c r="J423" s="110"/>
    </row>
    <row r="424" spans="10:10" x14ac:dyDescent="0.25">
      <c r="J424" s="110"/>
    </row>
    <row r="425" spans="10:10" x14ac:dyDescent="0.25">
      <c r="J425" s="110"/>
    </row>
    <row r="426" spans="10:10" x14ac:dyDescent="0.25">
      <c r="J426" s="110"/>
    </row>
    <row r="427" spans="10:10" x14ac:dyDescent="0.25">
      <c r="J427" s="110"/>
    </row>
    <row r="428" spans="10:10" x14ac:dyDescent="0.25">
      <c r="J428" s="110"/>
    </row>
    <row r="429" spans="10:10" x14ac:dyDescent="0.25">
      <c r="J429" s="110"/>
    </row>
    <row r="430" spans="10:10" x14ac:dyDescent="0.25">
      <c r="J430" s="110"/>
    </row>
    <row r="431" spans="10:10" x14ac:dyDescent="0.25">
      <c r="J431" s="110"/>
    </row>
    <row r="432" spans="10:10" x14ac:dyDescent="0.25">
      <c r="J432" s="110"/>
    </row>
    <row r="433" spans="10:10" x14ac:dyDescent="0.25">
      <c r="J433" s="110"/>
    </row>
    <row r="434" spans="10:10" x14ac:dyDescent="0.25">
      <c r="J434" s="110"/>
    </row>
    <row r="435" spans="10:10" x14ac:dyDescent="0.25">
      <c r="J435" s="110"/>
    </row>
    <row r="436" spans="10:10" x14ac:dyDescent="0.25">
      <c r="J436" s="110"/>
    </row>
    <row r="437" spans="10:10" x14ac:dyDescent="0.25">
      <c r="J437" s="110"/>
    </row>
    <row r="438" spans="10:10" x14ac:dyDescent="0.25">
      <c r="J438" s="110"/>
    </row>
    <row r="439" spans="10:10" x14ac:dyDescent="0.25">
      <c r="J439" s="110"/>
    </row>
    <row r="440" spans="10:10" x14ac:dyDescent="0.25">
      <c r="J440" s="110"/>
    </row>
    <row r="441" spans="10:10" x14ac:dyDescent="0.25">
      <c r="J441" s="110"/>
    </row>
    <row r="442" spans="10:10" x14ac:dyDescent="0.25">
      <c r="J442" s="110"/>
    </row>
    <row r="443" spans="10:10" x14ac:dyDescent="0.25">
      <c r="J443" s="110"/>
    </row>
    <row r="444" spans="10:10" x14ac:dyDescent="0.25">
      <c r="J444" s="110"/>
    </row>
    <row r="445" spans="10:10" x14ac:dyDescent="0.25">
      <c r="J445" s="110"/>
    </row>
    <row r="446" spans="10:10" x14ac:dyDescent="0.25">
      <c r="J446" s="110"/>
    </row>
    <row r="447" spans="10:10" x14ac:dyDescent="0.25">
      <c r="J447" s="110"/>
    </row>
    <row r="448" spans="10:10" x14ac:dyDescent="0.25">
      <c r="J448" s="110"/>
    </row>
    <row r="449" spans="10:10" x14ac:dyDescent="0.25">
      <c r="J449" s="110"/>
    </row>
    <row r="450" spans="10:10" x14ac:dyDescent="0.25">
      <c r="J450" s="110"/>
    </row>
    <row r="451" spans="10:10" x14ac:dyDescent="0.25">
      <c r="J451" s="110"/>
    </row>
    <row r="452" spans="10:10" x14ac:dyDescent="0.25">
      <c r="J452" s="110"/>
    </row>
    <row r="453" spans="10:10" x14ac:dyDescent="0.25">
      <c r="J453" s="110"/>
    </row>
    <row r="454" spans="10:10" x14ac:dyDescent="0.25">
      <c r="J454" s="110"/>
    </row>
    <row r="455" spans="10:10" x14ac:dyDescent="0.25">
      <c r="J455" s="110"/>
    </row>
    <row r="456" spans="10:10" x14ac:dyDescent="0.25">
      <c r="J456" s="110"/>
    </row>
    <row r="457" spans="10:10" x14ac:dyDescent="0.25">
      <c r="J457" s="110"/>
    </row>
    <row r="458" spans="10:10" x14ac:dyDescent="0.25">
      <c r="J458" s="110"/>
    </row>
    <row r="459" spans="10:10" x14ac:dyDescent="0.25">
      <c r="J459" s="110"/>
    </row>
    <row r="460" spans="10:10" x14ac:dyDescent="0.25">
      <c r="J460" s="110"/>
    </row>
    <row r="461" spans="10:10" x14ac:dyDescent="0.25">
      <c r="J461" s="110"/>
    </row>
    <row r="462" spans="10:10" x14ac:dyDescent="0.25">
      <c r="J462" s="110"/>
    </row>
    <row r="463" spans="10:10" x14ac:dyDescent="0.25">
      <c r="J463" s="110"/>
    </row>
    <row r="464" spans="10:10" x14ac:dyDescent="0.25">
      <c r="J464" s="110"/>
    </row>
    <row r="465" spans="10:10" x14ac:dyDescent="0.25">
      <c r="J465" s="110"/>
    </row>
    <row r="466" spans="10:10" x14ac:dyDescent="0.25">
      <c r="J466" s="110"/>
    </row>
    <row r="467" spans="10:10" x14ac:dyDescent="0.25">
      <c r="J467" s="110"/>
    </row>
    <row r="468" spans="10:10" x14ac:dyDescent="0.25">
      <c r="J468" s="110"/>
    </row>
    <row r="469" spans="10:10" x14ac:dyDescent="0.25">
      <c r="J469" s="110"/>
    </row>
    <row r="470" spans="10:10" x14ac:dyDescent="0.25">
      <c r="J470" s="110"/>
    </row>
    <row r="471" spans="10:10" x14ac:dyDescent="0.25">
      <c r="J471" s="110"/>
    </row>
    <row r="472" spans="10:10" x14ac:dyDescent="0.25">
      <c r="J472" s="110"/>
    </row>
    <row r="473" spans="10:10" x14ac:dyDescent="0.25">
      <c r="J473" s="110"/>
    </row>
    <row r="474" spans="10:10" x14ac:dyDescent="0.25">
      <c r="J474" s="110"/>
    </row>
    <row r="475" spans="10:10" x14ac:dyDescent="0.25">
      <c r="J475" s="110"/>
    </row>
    <row r="476" spans="10:10" x14ac:dyDescent="0.25">
      <c r="J476" s="110"/>
    </row>
    <row r="477" spans="10:10" x14ac:dyDescent="0.25">
      <c r="J477" s="110"/>
    </row>
    <row r="478" spans="10:10" x14ac:dyDescent="0.25">
      <c r="J478" s="110"/>
    </row>
    <row r="479" spans="10:10" x14ac:dyDescent="0.25">
      <c r="J479" s="110"/>
    </row>
    <row r="480" spans="10:10" x14ac:dyDescent="0.25">
      <c r="J480" s="110"/>
    </row>
    <row r="481" spans="10:10" x14ac:dyDescent="0.25">
      <c r="J481" s="110"/>
    </row>
    <row r="482" spans="10:10" x14ac:dyDescent="0.25">
      <c r="J482" s="110"/>
    </row>
    <row r="483" spans="10:10" x14ac:dyDescent="0.25">
      <c r="J483" s="110"/>
    </row>
    <row r="484" spans="10:10" x14ac:dyDescent="0.25">
      <c r="J484" s="110"/>
    </row>
    <row r="485" spans="10:10" x14ac:dyDescent="0.25">
      <c r="J485" s="110"/>
    </row>
    <row r="486" spans="10:10" x14ac:dyDescent="0.25">
      <c r="J486" s="110"/>
    </row>
    <row r="487" spans="10:10" x14ac:dyDescent="0.25">
      <c r="J487" s="110"/>
    </row>
    <row r="488" spans="10:10" x14ac:dyDescent="0.25">
      <c r="J488" s="110"/>
    </row>
    <row r="489" spans="10:10" x14ac:dyDescent="0.25">
      <c r="J489" s="110"/>
    </row>
    <row r="490" spans="10:10" x14ac:dyDescent="0.25">
      <c r="J490" s="110"/>
    </row>
    <row r="491" spans="10:10" x14ac:dyDescent="0.25">
      <c r="J491" s="110"/>
    </row>
    <row r="492" spans="10:10" x14ac:dyDescent="0.25">
      <c r="J492" s="110"/>
    </row>
    <row r="493" spans="10:10" x14ac:dyDescent="0.25">
      <c r="J493" s="110"/>
    </row>
    <row r="494" spans="10:10" x14ac:dyDescent="0.25">
      <c r="J494" s="110"/>
    </row>
    <row r="495" spans="10:10" x14ac:dyDescent="0.25">
      <c r="J495" s="110"/>
    </row>
    <row r="496" spans="10:10" x14ac:dyDescent="0.25">
      <c r="J496" s="110"/>
    </row>
    <row r="497" spans="10:10" x14ac:dyDescent="0.25">
      <c r="J497" s="110"/>
    </row>
    <row r="498" spans="10:10" x14ac:dyDescent="0.25">
      <c r="J498" s="110"/>
    </row>
    <row r="499" spans="10:10" x14ac:dyDescent="0.25">
      <c r="J499" s="110"/>
    </row>
    <row r="500" spans="10:10" x14ac:dyDescent="0.25">
      <c r="J500" s="110"/>
    </row>
    <row r="501" spans="10:10" x14ac:dyDescent="0.25">
      <c r="J501" s="110"/>
    </row>
    <row r="502" spans="10:10" x14ac:dyDescent="0.25">
      <c r="J502" s="110"/>
    </row>
    <row r="503" spans="10:10" x14ac:dyDescent="0.25">
      <c r="J503" s="110"/>
    </row>
    <row r="504" spans="10:10" x14ac:dyDescent="0.25">
      <c r="J504" s="110"/>
    </row>
    <row r="505" spans="10:10" x14ac:dyDescent="0.25">
      <c r="J505" s="110"/>
    </row>
    <row r="506" spans="10:10" x14ac:dyDescent="0.25">
      <c r="J506" s="110"/>
    </row>
    <row r="507" spans="10:10" x14ac:dyDescent="0.25">
      <c r="J507" s="110"/>
    </row>
    <row r="508" spans="10:10" x14ac:dyDescent="0.25">
      <c r="J508" s="110"/>
    </row>
    <row r="509" spans="10:10" x14ac:dyDescent="0.25">
      <c r="J509" s="110"/>
    </row>
    <row r="510" spans="10:10" x14ac:dyDescent="0.25">
      <c r="J510" s="110"/>
    </row>
    <row r="511" spans="10:10" x14ac:dyDescent="0.25">
      <c r="J511" s="110"/>
    </row>
    <row r="512" spans="10:10" x14ac:dyDescent="0.25">
      <c r="J512" s="110"/>
    </row>
    <row r="513" spans="10:10" x14ac:dyDescent="0.25">
      <c r="J513" s="110"/>
    </row>
    <row r="514" spans="10:10" x14ac:dyDescent="0.25">
      <c r="J514" s="110"/>
    </row>
  </sheetData>
  <mergeCells count="14">
    <mergeCell ref="S9:S18"/>
    <mergeCell ref="T9:T18"/>
    <mergeCell ref="U9:U18"/>
    <mergeCell ref="V9:V18"/>
    <mergeCell ref="N9:N18"/>
    <mergeCell ref="O9:O18"/>
    <mergeCell ref="P9:P18"/>
    <mergeCell ref="Q9:Q18"/>
    <mergeCell ref="R9:R18"/>
    <mergeCell ref="I9:I18"/>
    <mergeCell ref="J9:J18"/>
    <mergeCell ref="K9:K18"/>
    <mergeCell ref="L9:L18"/>
    <mergeCell ref="M9:M18"/>
  </mergeCells>
  <phoneticPr fontId="24" type="noConversion"/>
  <pageMargins left="0.51181102362204722" right="0.15748031496062992" top="0.51181102362204722" bottom="0.19685039370078741" header="0.39370078740157483" footer="0.15748031496062992"/>
  <pageSetup paperSize="9" scale="27" orientation="portrait" r:id="rId1"/>
  <headerFooter alignWithMargins="0"/>
  <ignoredErrors>
    <ignoredError sqref="B20:E84 B15:E15 B14 B19:D19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3:A76"/>
  <sheetViews>
    <sheetView topLeftCell="A20" zoomScale="90" zoomScaleNormal="90" workbookViewId="0">
      <selection activeCell="X39" sqref="X39"/>
    </sheetView>
  </sheetViews>
  <sheetFormatPr defaultRowHeight="15" x14ac:dyDescent="0.25"/>
  <cols>
    <col min="13" max="13" width="12" customWidth="1"/>
  </cols>
  <sheetData>
    <row r="3" spans="1:1" x14ac:dyDescent="0.25">
      <c r="A3" s="92">
        <v>45933</v>
      </c>
    </row>
    <row r="16" spans="1:1" x14ac:dyDescent="0.25">
      <c r="A16" s="92">
        <v>45950</v>
      </c>
    </row>
    <row r="21" spans="1:1" x14ac:dyDescent="0.25">
      <c r="A21" s="92">
        <v>46293</v>
      </c>
    </row>
    <row r="76" spans="1:1" x14ac:dyDescent="0.25">
      <c r="A76" s="92">
        <v>46079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Breakdown </vt:lpstr>
      <vt:lpstr>NATOONS WOODLAND</vt:lpstr>
      <vt:lpstr>Release Qty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Thanh Ha</dc:creator>
  <cp:lastModifiedBy>Dương Thị Trà</cp:lastModifiedBy>
  <dcterms:created xsi:type="dcterms:W3CDTF">2024-09-09T11:11:31Z</dcterms:created>
  <dcterms:modified xsi:type="dcterms:W3CDTF">2026-09-30T10:14:52Z</dcterms:modified>
</cp:coreProperties>
</file>